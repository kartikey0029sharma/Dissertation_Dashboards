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ference Register" sheetId="1" state="visible" r:id="rId3"/>
    <sheet name="Summary" sheetId="2" state="visible" r:id="rId4"/>
    <sheet name="Verification method" sheetId="3" state="visible" r:id="rId5"/>
  </sheets>
  <definedNames>
    <definedName function="false" hidden="true" localSheetId="0" name="_xlnm._FilterDatabase" vbProcedure="false">'Reference Register'!$A$4:$I$83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<sst xmlns="http://schemas.openxmlformats.org/spreadsheetml/2006/main" count="595" uniqueCount="374">
  <si>
    <t xml:space="preserve">Reference Accessibility Register — ISO8007 Dissertation (Draft v2), K. Sharma (250559280)</t>
  </si>
  <si>
    <t xml:space="preserve">Column A gives the superscript number used in the dissertation text; the numbering follows the alphabetical order of the reference index. Every source is listed with its stable link, verified access status, access route, the section in which it is used, and its relation to the argument. Compiled 18 August 2026.</t>
  </si>
  <si>
    <t xml:space="preserve">Ref no. (superscript)</t>
  </si>
  <si>
    <t xml:space="preserve">Year</t>
  </si>
  <si>
    <t xml:space="preserve">Full reference (Harvard, Cite Them Right)</t>
  </si>
  <si>
    <t xml:space="preserve">DOI or stable URL</t>
  </si>
  <si>
    <t xml:space="preserve">Access route</t>
  </si>
  <si>
    <t xml:space="preserve">Verification status</t>
  </si>
  <si>
    <t xml:space="preserve">Used in (section)</t>
  </si>
  <si>
    <t xml:space="preserve">Relation to this dissertation</t>
  </si>
  <si>
    <t xml:space="preserve">Open link</t>
  </si>
  <si>
    <t xml:space="preserve">Aguinis, H. and Bradley, K.J. (2014) 'Best practice recommendations for designing and implementing experimental vignette methodology studies', Organizational Research Methods, 17(4), pp. 351-371.</t>
  </si>
  <si>
    <t xml:space="preserve">https://doi.org/10.1177/1094428114547952</t>
  </si>
  <si>
    <t xml:space="preserve">NU Library (SAGE)</t>
  </si>
  <si>
    <t xml:space="preserve">Standard source; DOI recorded</t>
  </si>
  <si>
    <t xml:space="preserve">3.5.1</t>
  </si>
  <si>
    <t xml:space="preserve">Methodological warrant for experimental vignette methodology: establishes best practice for vignette construction, randomisation and sample requirements in judgement research.</t>
  </si>
  <si>
    <t xml:space="preserve">Amabile, T.M. (1998) 'How to kill creativity', Harvard Business Review, 76(5), pp. 76-87.</t>
  </si>
  <si>
    <t xml:space="preserve">https://hbr.org/1998/09/how-to-kill-creativity</t>
  </si>
  <si>
    <t xml:space="preserve">NU Library / HBR archive</t>
  </si>
  <si>
    <t xml:space="preserve">Standard source; citation recorded, link not individually fetched</t>
  </si>
  <si>
    <t xml:space="preserve">2.5; Table 2.1 (H5)</t>
  </si>
  <si>
    <t xml:space="preserve">Establishes that evaluation pressure and rigid performance systems reduce creative output. Underpins the option-set narrowing mechanism and hypothesis H5.</t>
  </si>
  <si>
    <t xml:space="preserve">Anderson, N., Potocnik, K. and Zhou, J. (2014) 'Innovation and creativity in organizations: a state-of-the-science review, prospective commentary, and guiding framework', Journal of Management, 40(5), pp. 1297-1333.</t>
  </si>
  <si>
    <t xml:space="preserve">https://doi.org/10.1177/0149206314527128</t>
  </si>
  <si>
    <t xml:space="preserve">2.5</t>
  </si>
  <si>
    <t xml:space="preserve">Confirms the contextual contingency of creative behaviour, which justifies treating creativity as conditional rather than fixed.</t>
  </si>
  <si>
    <t xml:space="preserve">Arnott, D. and Pervan, G. (2005) 'A critical analysis of decision support systems research', Journal of Information Technology, 20(2), pp. 67-87.</t>
  </si>
  <si>
    <t xml:space="preserve">https://doi.org/10.1057/palgrave.jit.2000035</t>
  </si>
  <si>
    <t xml:space="preserve">NU Library (SAGE/Palgrave)</t>
  </si>
  <si>
    <t xml:space="preserve">2.4</t>
  </si>
  <si>
    <t xml:space="preserve">Establishes decision support systems as socio-technical artefacts rather than neutral tools. Foundation for the legitimacy asymmetry argument.</t>
  </si>
  <si>
    <t xml:space="preserve">Atzm"{uller, C. and Steiner, P.M. (2010) 'Experimental vignette studies in survey research', Methodology, 6(3), pp. 128-138.</t>
  </si>
  <si>
    <t xml:space="preserve">https://doi.org/10.1027/1614-2241/a000014</t>
  </si>
  <si>
    <t xml:space="preserve">NU Library (Hogrefe)</t>
  </si>
  <si>
    <t xml:space="preserve">Supports the factorial vignette structure and the decision to vary conditions within rather than between subjects.</t>
  </si>
  <si>
    <t xml:space="preserve">Autoriteit Persoonsgegevens (2021) Tax Administration Fined for Discriminatory and Unlawful Data Processing. The Hague: Dutch Data Protection Authority. Available at: https://www.autoriteitpersoonsgegevens.nl/en/current/tax-administration-fined-for-discriminatory-and-unlawful-data-processing (Accessed: 18 August 2026).</t>
  </si>
  <si>
    <t xml:space="preserve">https://www.autoriteitpersoonsgegevens.nl/en/current/tax-administration-fined-for-discriminatory-and-unlawful-data-processing</t>
  </si>
  <si>
    <t xml:space="preserve">Open access (public regulator)</t>
  </si>
  <si>
    <t xml:space="preserve">Link located and confirmed via search, 18 Aug 2026</t>
  </si>
  <si>
    <t xml:space="preserve">3.5; 4.2 (case C9)</t>
  </si>
  <si>
    <t xml:space="preserve">Primary evidential source for case C9 (Dutch childcare benefits). Documents a silent, opaque risk-classification defect persisting roughly seven years.</t>
  </si>
  <si>
    <t xml:space="preserve">Bach, B., Freeman, E., Abdul-Rahman, A., Turkay, C., Khan, S., Fan, Y. and Chen, M. (2023) 'Dashboard design patterns', IEEE Transactions on Visualization and Computer Graphics, 29(1), pp. 342-352.</t>
  </si>
  <si>
    <t xml:space="preserve">https://doi.org/10.1109/TVCG.2022.3209448</t>
  </si>
  <si>
    <t xml:space="preserve">NU Library (IEEE Xplore); author preprint open</t>
  </si>
  <si>
    <t xml:space="preserve">Confirmed via publisher record, 18 Aug 2026</t>
  </si>
  <si>
    <t xml:space="preserve">2.2; Fig. 2.2</t>
  </si>
  <si>
    <t xml:space="preserve">Catalogues the recurring design patterns through which dashboards structure attention. Supports the salience manipulation in Strand 1.</t>
  </si>
  <si>
    <t xml:space="preserve">Bhaskar, R. (2008) A Realist Theory of Science. Abingdon: Routledge.</t>
  </si>
  <si>
    <t xml:space="preserve">https://doi.org/10.4324/9780203090732</t>
  </si>
  <si>
    <t xml:space="preserve">NU Library (Routledge e-book)</t>
  </si>
  <si>
    <t xml:space="preserve">3.1</t>
  </si>
  <si>
    <t xml:space="preserve">Source of the stratified critical realist ontology under which observable deference is generated by underlying mechanisms.</t>
  </si>
  <si>
    <t xml:space="preserve">Bowen, G.A. (2009) 'Document analysis as a qualitative research method', Qualitative Research Journal, 9(2), pp. 27-40.</t>
  </si>
  <si>
    <t xml:space="preserve">https://doi.org/10.3316/QRJ0902027</t>
  </si>
  <si>
    <t xml:space="preserve">NU Library (Emerald)</t>
  </si>
  <si>
    <t xml:space="preserve">3.6.1</t>
  </si>
  <si>
    <t xml:space="preserve">Methodological justification for documentary analysis where the researcher cannot observe the events and a durable verifiable trace exists.</t>
  </si>
  <si>
    <t xml:space="preserve">Braun, V. and Clarke, V. (2006) 'Using thematic analysis in psychology', Qualitative Research in Psychology, 3(2), pp. 77-101.</t>
  </si>
  <si>
    <t xml:space="preserve">https://doi.org/10.1191/1478088706qp063oa</t>
  </si>
  <si>
    <t xml:space="preserve">NU Library (Taylor &amp; Francis)</t>
  </si>
  <si>
    <t xml:space="preserve">3.6</t>
  </si>
  <si>
    <t xml:space="preserve">Methodological basis for the reflexive thematic analysis applied to the Strand 3 interview transcripts.</t>
  </si>
  <si>
    <t xml:space="preserve">Bryman, A. (2016) Social Research Methods. 5th edn. Oxford: Oxford University Press.</t>
  </si>
  <si>
    <t xml:space="preserve">https://global.oup.com/academic/product/social-research-methods-9780199689453</t>
  </si>
  <si>
    <t xml:space="preserve">NU Library (print and e-book)</t>
  </si>
  <si>
    <t xml:space="preserve">Standard source; publisher page recorded</t>
  </si>
  <si>
    <t xml:space="preserve">Supports the feasibility judgement on interview sample size and general social research design decisions.</t>
  </si>
  <si>
    <t xml:space="preserve">Bucinca, Z., Malaya, M.B. and Gajos, K.Z. (2021) 'To trust or to think: cognitive forcing functions can reduce overreliance on AI in AI-assisted decision-making', Proceedings of the ACM on Human-Computer Interaction, 5(CSCW1), article 188.</t>
  </si>
  <si>
    <t xml:space="preserve">https://doi.org/10.1145/3449287</t>
  </si>
  <si>
    <t xml:space="preserve">Open access (ACM OpenTOC; arXiv 2102.09692)</t>
  </si>
  <si>
    <t xml:space="preserve">Confirmed via ACM DL and arXiv, 18 Aug 2026</t>
  </si>
  <si>
    <t xml:space="preserve">1.2; 2.2</t>
  </si>
  <si>
    <t xml:space="preserve">Demonstrates that over-reliance is reducible by design. Key evidence that reliance is an engineering and governance variable, not a trait.</t>
  </si>
  <si>
    <t xml:space="preserve">Burton, J.W., Stein, M.-K. and Jensen, T.B. (2020) 'A systematic review of algorithm aversion in augmented decision making', Journal of Behavioral Decision Making, 33(2), pp. 220-239.</t>
  </si>
  <si>
    <t xml:space="preserve">https://doi.org/10.1002/bdm.2155</t>
  </si>
  <si>
    <t xml:space="preserve">Open access (Wiley OA)</t>
  </si>
  <si>
    <t xml:space="preserve">1.2; 2.2; 2.6; Fig. 2.2; App. A</t>
  </si>
  <si>
    <t xml:space="preserve">Central justification for the conditional framing of RQ1: reliance is condition-dependent rather than a stable trait.</t>
  </si>
  <si>
    <t xml:space="preserve">Chen, H., Chiang, R.H.L. and Storey, V.C. (2012) 'Business intelligence and analytics: from big data to big impact', MIS Quarterly, 36(4), pp. 1165-1188.</t>
  </si>
  <si>
    <t xml:space="preserve">https://doi.org/10.2307/41703503</t>
  </si>
  <si>
    <t xml:space="preserve">NU Library (JSTOR / MISQ)</t>
  </si>
  <si>
    <t xml:space="preserve">1.1; 2.6; Fig. 2.2</t>
  </si>
  <si>
    <t xml:space="preserve">Canonical statement of the BI value proposition. Establishes the positive case which this study qualifies rather than rejects.</t>
  </si>
  <si>
    <t xml:space="preserve">Civil Aviation Authority (2024) CAP2993: Independent Review of NATS (En Route) Plc's Flight Planning System Failure on 28 August 2023 -- Final Report. London: Civil Aviation Authority. Available at: https://www.caa.co.uk/CAP2993 (Accessed: 18 August 2026).</t>
  </si>
  <si>
    <t xml:space="preserve">https://www.caa.co.uk/CAP2993</t>
  </si>
  <si>
    <t xml:space="preserve">Page fetched and confirmed, 18 Aug 2026</t>
  </si>
  <si>
    <t xml:space="preserve">1.2; 3.5; 4.2 (case C2)</t>
  </si>
  <si>
    <t xml:space="preserve">Primary evidential source for case C2. Documents model-logic failure, fail-safe behaviour and slow escalation of human challenge.</t>
  </si>
  <si>
    <t xml:space="preserve">Cleveland, W.S. and McGill, R. (1984) 'Graphical perception: theory, experimentation, and application to the development of graphical methods', Journal of the American Statistical Association, 79(387), pp. 531-554.</t>
  </si>
  <si>
    <t xml:space="preserve">https://doi.org/10.1080/01621459.1984.10478080</t>
  </si>
  <si>
    <t xml:space="preserve">NU Library (Taylor &amp; Francis / JSTOR)</t>
  </si>
  <si>
    <t xml:space="preserve">2.2; Table 2.1 (H3)</t>
  </si>
  <si>
    <t xml:space="preserve">Foundational evidence that visual encoding governs what users notice and how accurately they read quantities. Basis for hypothesis H3.</t>
  </si>
  <si>
    <t xml:space="preserve">Cohen, J. (1960) 'A coefficient of agreement for nominal scales', Educational and Psychological Measurement, 20(1), pp. 37-46.</t>
  </si>
  <si>
    <t xml:space="preserve">https://doi.org/10.1177/001316446002000104</t>
  </si>
  <si>
    <t xml:space="preserve">3.6.2; Table 3.6</t>
  </si>
  <si>
    <t xml:space="preserve">Basis for the inter-coder reliability statistic applied to the thirty per cent double-coded subsample.</t>
  </si>
  <si>
    <t xml:space="preserve">Cohen, J. (1988) Statistical Power Analysis for the Behavioral Sciences. 2nd edn. Hillsdale, NJ: Lawrence Erlbaum Associates.</t>
  </si>
  <si>
    <t xml:space="preserve">https://doi.org/10.4324/9780203771587</t>
  </si>
  <si>
    <t xml:space="preserve">3.4.2</t>
  </si>
  <si>
    <t xml:space="preserve">Basis for the power calculation underpinning the target sample size of 120 for Strand 1.</t>
  </si>
  <si>
    <t xml:space="preserve">Creswell, J.W. and Plano Clark, V.L. (2018) Designing and Conducting Mixed Methods Research. 3rd edn. Thousand Oaks, CA: SAGE.</t>
  </si>
  <si>
    <t xml:space="preserve">https://us.sagepub.com/en-us/nam/designing-and-conducting-mixed-methods-research/book241842</t>
  </si>
  <si>
    <t xml:space="preserve">NU Library</t>
  </si>
  <si>
    <t xml:space="preserve">Methodological warrant for the sequential explanatory mixed-methods design and for integration through a joint display.</t>
  </si>
  <si>
    <t xml:space="preserve">Dietvorst, B.J., Simmons, J.P. and Massey, C. (2015) 'Algorithm aversion: people erroneously avoid algorithms after seeing them err', Journal of Experimental Psychology: General, 144(1), pp. 114-126.</t>
  </si>
  <si>
    <t xml:space="preserve">https://doi.org/10.1037/xge0000033</t>
  </si>
  <si>
    <t xml:space="preserve">NU Library (APA PsycNet); author copy open</t>
  </si>
  <si>
    <t xml:space="preserve">1.2; 2.2; Table 2.1 (H4b); App. A</t>
  </si>
  <si>
    <t xml:space="preserve">Supplies the aversion side of the contested reliance evidence and the theoretical basis for competing hypothesis H4b.</t>
  </si>
  <si>
    <t xml:space="preserve">Doshi, A.R. and Hauser, O.P. (2024) 'Generative AI enhances individual creativity but reduces the collective diversity of novel content', Science Advances, 10(28), article eadn5290.</t>
  </si>
  <si>
    <t xml:space="preserve">https://doi.org/10.1126/sciadv.adn5290</t>
  </si>
  <si>
    <t xml:space="preserve">Open access (Science Advances OA)</t>
  </si>
  <si>
    <t xml:space="preserve">Confirmed via Crossref, 18 Aug 2026</t>
  </si>
  <si>
    <t xml:space="preserve">Recent counterweight showing analytics can raise individual output whilst narrowing collective diversity. Makes option-set narrowing an empirical question.</t>
  </si>
  <si>
    <t xml:space="preserve">Eisenhardt, K.M. (1989) 'Building theories from case study research', Academy of Management Review, 14(4), pp. 532-550.</t>
  </si>
  <si>
    <t xml:space="preserve">https://doi.org/10.5465/amr.1989.4308385</t>
  </si>
  <si>
    <t xml:space="preserve">NU Library (AOM)</t>
  </si>
  <si>
    <t xml:space="preserve">3.2; 5.3</t>
  </si>
  <si>
    <t xml:space="preserve">Frames the depth-versus-comparability trade-off in small-n comparative work, which Section 5.3 acknowledges directly.</t>
  </si>
  <si>
    <t xml:space="preserve">Elbashir, M.Z., Collier, P.A. and Davern, M.J. (2008) 'Measuring the effects of business intelligence systems: the relationship between business process and organizational performance', International Journal of Accounting Information Systems, 9(3), pp. 135-153.</t>
  </si>
  <si>
    <t xml:space="preserve">https://doi.org/10.1016/j.accinf.2008.03.001</t>
  </si>
  <si>
    <t xml:space="preserve">NU Library (ScienceDirect)</t>
  </si>
  <si>
    <t xml:space="preserve">1.1</t>
  </si>
  <si>
    <t xml:space="preserve">Evidence linking BI systems to business process and organisational performance. Part of the established positive case for BI.</t>
  </si>
  <si>
    <t xml:space="preserve">Espeland, W.N. and Sauder, M. (2007) 'Rankings and reactivity: how public measures recreate social worlds', American Journal of Sociology, 113(1), pp. 1-40.</t>
  </si>
  <si>
    <t xml:space="preserve">https://doi.org/10.1086/517897</t>
  </si>
  <si>
    <t xml:space="preserve">NU Library (JSTOR / UChicago Press)</t>
  </si>
  <si>
    <t xml:space="preserve">2.4; Table 2.1 (H2); Fig. 2.2; App. A</t>
  </si>
  <si>
    <t xml:space="preserve">Theoretical origin of the legitimacy asymmetry construct via reactivity. Directly generates hypothesis H2.</t>
  </si>
  <si>
    <t xml:space="preserve">Field, A. (2018) Discovering Statistics Using IBM SPSS Statistics. 5th edn. London: SAGE.</t>
  </si>
  <si>
    <t xml:space="preserve">https://uk.sagepub.com/en-gb/eur/discovering-statistics-using-ibm-spss-statistics/book257672</t>
  </si>
  <si>
    <t xml:space="preserve">3.4.2; 3.4.4</t>
  </si>
  <si>
    <t xml:space="preserve">Practical reference for the power calculation, effect size reporting and the SPSS analysis route.</t>
  </si>
  <si>
    <t xml:space="preserve">Financial Conduct Authority (2019) Final Notice: Goldman Sachs International. London: FCA. Available at: https://www.fca.org.uk/publication/final-notices/goldman-sachs-international-2019.pdf (Accessed: 18 August 2026).</t>
  </si>
  <si>
    <t xml:space="preserve">https://www.fca.org.uk/publication/final-notices/goldman-sachs-international-2019.pdf</t>
  </si>
  <si>
    <t xml:space="preserve">Press release fetched and figures confirmed, 18 Aug 2026</t>
  </si>
  <si>
    <t xml:space="preserve">3.5; 4.2 (case C10)</t>
  </si>
  <si>
    <t xml:space="preserve">Primary evidential source for case C10. Documents 213.6m reportable transactions reported incompletely over 9.5 years with no challenge raised.</t>
  </si>
  <si>
    <t xml:space="preserve">Financial Conduct Authority (2022) Final Notice: TSB Bank plc. London: FCA. Available at: https://www.fca.org.uk/publication/final-notices/tsb-bank-plc-2022.pdf (Accessed: 18 August 2026).</t>
  </si>
  <si>
    <t xml:space="preserve">https://www.fca.org.uk/publication/final-notices/tsb-bank-plc-2022.pdf</t>
  </si>
  <si>
    <t xml:space="preserve">3.5; 4.2 (case C6)</t>
  </si>
  <si>
    <t xml:space="preserve">Primary evidential source for case C6, the single case in the sample where the defect was immediately visible to those affected.</t>
  </si>
  <si>
    <t xml:space="preserve">Franco-Santos, M. and Otley, D. (2018) 'Reviewing and theorizing the unintended consequences of performance management systems', International Journal of Management Reviews, 20(3), pp. 696-730.</t>
  </si>
  <si>
    <t xml:space="preserve">https://doi.org/10.1111/ijmr.12183</t>
  </si>
  <si>
    <t xml:space="preserve">NU Library (Wiley)</t>
  </si>
  <si>
    <t xml:space="preserve">2.4; Table 2.1 (H2); Fig. 2.2</t>
  </si>
  <si>
    <t xml:space="preserve">Documents gaming, tunnel vision and displacement of judgement by measurable proxies. Core support for the legitimacy asymmetry argument.</t>
  </si>
  <si>
    <t xml:space="preserve">Goddard, K., Roudsari, A. and Wyatt, J.C. (2012) 'Automation bias: a systematic review of frequency, effect mediators, and mitigators', Journal of the American Medical Informatics Association, 19(1), pp. 121-127.</t>
  </si>
  <si>
    <t xml:space="preserve">https://doi.org/10.1136/amiajnl-2011-000089</t>
  </si>
  <si>
    <t xml:space="preserve">Open access (PMC)</t>
  </si>
  <si>
    <t xml:space="preserve">2.2</t>
  </si>
  <si>
    <t xml:space="preserve">Establishes the frequency of automation bias and its sensitivity to verification cost, which motivates the data-quality signal manipulation.</t>
  </si>
  <si>
    <t xml:space="preserve">Guest, G., Bunce, A. and Johnson, L. (2006) 'How many interviews are enough? An experiment with data saturation and variability', Field Methods, 18(1), pp. 59-82.</t>
  </si>
  <si>
    <t xml:space="preserve">https://doi.org/10.1177/1525822X05279903</t>
  </si>
  <si>
    <t xml:space="preserve">Empirical basis for the interview sample size of 10-12 with a floor of 8.</t>
  </si>
  <si>
    <t xml:space="preserve">Gunasekaran, A., Papadopoulos, T., Dubey, R., Wamba, S.F., Childe, S.J., Hazen, B. and Akter, S. (2017) 'Big data and predictive analytics for supply chain and organizational performance', Journal of Business Research, 70, pp. 308-317.</t>
  </si>
  <si>
    <t xml:space="preserve">https://doi.org/10.1016/j.jbusres.2016.08.004</t>
  </si>
  <si>
    <t xml:space="preserve">Evidence for dashboard and analytics value in supply chain settings, which is the applied context framing the study.</t>
  </si>
  <si>
    <t xml:space="preserve">Janssen, M., van der Voort, H. and Wahyudi, A. (2017) 'Factors influencing big data decision-making quality', Journal of Business Research, 70, pp. 338-345.</t>
  </si>
  <si>
    <t xml:space="preserve">https://doi.org/10.1016/j.jbusres.2016.08.007</t>
  </si>
  <si>
    <t xml:space="preserve">2.3</t>
  </si>
  <si>
    <t xml:space="preserve">Shows decision quality depends on the whole decision chain rather than data alone. Bridges data-quality and behavioural literatures.</t>
  </si>
  <si>
    <t xml:space="preserve">Kache, F. and Seuring, S. (2017) 'Challenges and opportunities of digital information at the intersection of big data analytics and supply chain management', International Journal of Operations &amp; Production Management, 37(1), pp. 10-36.</t>
  </si>
  <si>
    <t xml:space="preserve">https://doi.org/10.1108/IJOPM-02-2015-0078</t>
  </si>
  <si>
    <t xml:space="preserve">Supports the supply chain framing and the practical relevance of dashboard-mediated decisions.</t>
  </si>
  <si>
    <t xml:space="preserve">Kahneman, D. (2011) Thinking, Fast and Slow. London: Penguin.</t>
  </si>
  <si>
    <t xml:space="preserve">https://www.penguin.co.uk/books/56314/thinking-fast-and-slow</t>
  </si>
  <si>
    <t xml:space="preserve">2.1; 2.3; Table 2.1 (H6)</t>
  </si>
  <si>
    <t xml:space="preserve">Dual-process account explaining why a silent defect provides no cue to trigger slower, effortful processing. Basis for H6.</t>
  </si>
  <si>
    <t xml:space="preserve">Kellogg, K.C., Valentine, M.A. and Christin, A. (2020) 'Algorithms at work: the new contested terrain of control', Academy of Management Annals, 14(1), pp. 366-410.</t>
  </si>
  <si>
    <t xml:space="preserve">https://doi.org/10.5465/annals.2018.0174</t>
  </si>
  <si>
    <t xml:space="preserve">Shows algorithmic systems functioning as instruments of organisational control, which supports the institutional half of the argument.</t>
  </si>
  <si>
    <t xml:space="preserve">Krippendorff, K. (2018) Content Analysis: An Introduction to Its Methodology. 4th edn. Thousand Oaks, CA: SAGE.</t>
  </si>
  <si>
    <t xml:space="preserve">https://us.sagepub.com/en-us/nam/content-analysis/book258450</t>
  </si>
  <si>
    <t xml:space="preserve">Supports the fixed extraction frame and systematic coding procedure applied to the documentary sample.</t>
  </si>
  <si>
    <t xml:space="preserve">Landis, J.R. and Koch, G.G. (1977) 'The measurement of observer agreement for categorical data', Biometrics, 33(1), pp. 159-174.</t>
  </si>
  <si>
    <t xml:space="preserve">https://doi.org/10.2307/2529310</t>
  </si>
  <si>
    <t xml:space="preserve">NU Library (JSTOR)</t>
  </si>
  <si>
    <t xml:space="preserve">3.6.2</t>
  </si>
  <si>
    <t xml:space="preserve">Supplies the conventional benchmarks against which the coding agreement statistic will be interpreted.</t>
  </si>
  <si>
    <t xml:space="preserve">Lebovitz, S., Lifshitz-Assaf, H. and Levina, N. (2022) 'To engage or not to engage with AI for critical judgments: how professionals deal with opacity when using AI for medical diagnosis', Organization Science, 33(1), pp. 126-148.</t>
  </si>
  <si>
    <t xml:space="preserve">https://doi.org/10.1287/orsc.2021.1549</t>
  </si>
  <si>
    <t xml:space="preserve">NU Library (INFORMS); author copy open</t>
  </si>
  <si>
    <t xml:space="preserve">2.4; Table 2.1 (H6); App. A</t>
  </si>
  <si>
    <t xml:space="preserve">Documents professionals disengaging critical judgement where challenge is professionally risky. Directly informs the interview protocol.</t>
  </si>
  <si>
    <t xml:space="preserve">Lincoln, Y.S. and Guba, E.G. (1985) Naturalistic Inquiry. Beverly Hills, CA: SAGE.</t>
  </si>
  <si>
    <t xml:space="preserve">https://us.sagepub.com/en-us/nam/naturalistic-inquiry/book842</t>
  </si>
  <si>
    <t xml:space="preserve">3.9; Table 3.6</t>
  </si>
  <si>
    <t xml:space="preserve">Source of the credibility, dependability and transferability criteria applied to the qualitative strand.</t>
  </si>
  <si>
    <t xml:space="preserve">Logg, J.M., Minson, J.A. and Moore, D.A. (2019) 'Algorithm appreciation: people prefer algorithmic to human judgment', Organizational Behavior and Human Decision Processes, 151, pp. 90-103.</t>
  </si>
  <si>
    <t xml:space="preserve">https://doi.org/10.1016/j.obhdp.2018.12.005</t>
  </si>
  <si>
    <t xml:space="preserve">1.2; 2.2; App. A</t>
  </si>
  <si>
    <t xml:space="preserve">Supplies the appreciation side of the contested reliance evidence, creating the tension that the conditional RQ1 resolves.</t>
  </si>
  <si>
    <t xml:space="preserve">Lyell, D. and Coiera, E. (2017) 'Automation bias and verification complexity: a systematic review', Journal of the American Medical Informatics Association, 24(2), pp. 423-431.</t>
  </si>
  <si>
    <t xml:space="preserve">https://doi.org/10.1093/jamia/ocw105</t>
  </si>
  <si>
    <t xml:space="preserve">2.2; Table 2.1 (H1)</t>
  </si>
  <si>
    <t xml:space="preserve">Establishes that trust rises with verification cost. Direct theoretical basis for hypothesis H1.</t>
  </si>
  <si>
    <t xml:space="preserve">Mahmud, H., Islam, A.K.M.N., Ahmed, S.I. and Smolander, K. (2022) 'What influences algorithmic decision-making? A systematic literature review on algorithm aversion', Technological Forecasting and Social Change, 175, article 121390.</t>
  </si>
  <si>
    <t xml:space="preserve">https://doi.org/10.1016/j.techfore.2021.121390</t>
  </si>
  <si>
    <t xml:space="preserve">1.2; 2.2; Fig. 2.2</t>
  </si>
  <si>
    <t xml:space="preserve">Recent synthesis confirming that reliance varies with task, expertise, error visibility and control. Anchors the conditional framing.</t>
  </si>
  <si>
    <t xml:space="preserve">Market Research Society (2019) MRS Code of Conduct. London: Market Research Society.</t>
  </si>
  <si>
    <t xml:space="preserve">https://www.mrs.org.uk/standards/code-of-conduct</t>
  </si>
  <si>
    <t xml:space="preserve">Open access (professional body)</t>
  </si>
  <si>
    <t xml:space="preserve">Standard source; check for a later edition before submission</t>
  </si>
  <si>
    <t xml:space="preserve">3.10</t>
  </si>
  <si>
    <t xml:space="preserve">Professional ethics code required by the ISO8007 marking criteria, alongside the University's Code of Good Practice in Research.</t>
  </si>
  <si>
    <t xml:space="preserve">Mikalef, P. and Gupta, M. (2021) 'Artificial intelligence capability: conceptualization, measurement calibration, and empirical study on its impact on organizational creativity and firm performance', Information &amp; Management, 58(3), article 103434.</t>
  </si>
  <si>
    <t xml:space="preserve">https://doi.org/10.1016/j.im.2021.103434</t>
  </si>
  <si>
    <t xml:space="preserve">Finds AI capability positively associated with organisational creativity, providing the counter-prediction to option-set narrowing.</t>
  </si>
  <si>
    <t xml:space="preserve">Mosier, K.L., Skitka, L.J., Heers, S. and Burdick, M. (1998) 'Automation bias: decision making and performance in high-tech cockpits', The International Journal of Aviation Psychology, 8(1), pp. 47-63.</t>
  </si>
  <si>
    <t xml:space="preserve">https://doi.org/10.1207/s15327108ijap0801_3</t>
  </si>
  <si>
    <t xml:space="preserve">Shows automated cues encourage acceptance even where contradictory evidence exists, which is the exact behaviour the vignettes reproduce.</t>
  </si>
  <si>
    <t xml:space="preserve">Nagle, T., Redman, T. and Sammon, D. (2020) 'Assessing data quality: a managerial call to action', Business Horizons, 63(3), pp. 325-337.</t>
  </si>
  <si>
    <t xml:space="preserve">https://doi.org/10.1016/j.bushor.2020.01.006</t>
  </si>
  <si>
    <t xml:space="preserve">2.3; Fig. 2.2; App. A</t>
  </si>
  <si>
    <t xml:space="preserve">Evidence that organisations systematically under-measure data quality, which supports the invisibility premise of Section 2.3.</t>
  </si>
  <si>
    <t xml:space="preserve">Office for Statistics Regulation (2021) Ensuring Statistical Models Command Public Confidence: Learning Lessons from the Approach to Developing Models for Awarding Grades in the UK in 2020. London: UK Statistics Authority. Available at: https://osr.statisticsauthority.gov.uk/publication/ensuring-statistical-models-command-public-confidence/ (Accessed: 18 August 2026).</t>
  </si>
  <si>
    <t xml:space="preserve">https://osr.statisticsauthority.gov.uk/publication/ensuring-statistical-models-command-public-confidence/</t>
  </si>
  <si>
    <t xml:space="preserve">3.5; 4.2 (case C8)</t>
  </si>
  <si>
    <t xml:space="preserve">Primary evidential source for case C8 (Ofqual 2020). Documents a model executing its specification correctly whilst producing indefensible individual outcomes.</t>
  </si>
  <si>
    <t xml:space="preserve">Office of the Comptroller of the Currency (2020) OCC Assesses $400 Million Civil Money Penalty Against Citibank. News release NR 2020-132. Washington, DC: OCC. Available at: https://www.occ.gov/news-issuances/news-releases/2020/nr-occ-2020-132.html (Accessed: 18 August 2026).</t>
  </si>
  <si>
    <t xml:space="preserve">https://www.occ.gov/news-issuances/news-releases/2020/nr-occ-2020-132.html</t>
  </si>
  <si>
    <t xml:space="preserve">1.2; 3.5; 4.2 (case C3)</t>
  </si>
  <si>
    <t xml:space="preserve">Primary evidential source for case C3. Explicitly cites deficiencies in data governance and risk data aggregation.</t>
  </si>
  <si>
    <t xml:space="preserve">Parasuraman, R. and Manzey, D.H. (2010) 'Complacency and bias in human use of automation: an attentional integration', Human Factors, 52(3), pp. 381-410.</t>
  </si>
  <si>
    <t xml:space="preserve">https://doi.org/10.1177/0018720810376055</t>
  </si>
  <si>
    <t xml:space="preserve">2.2; 5.1; App. A</t>
  </si>
  <si>
    <t xml:space="preserve">Supplies the attentional mechanism by which reliance reduces sampling of raw evidence. Section 5.1 qualifies this as only a partial account.</t>
  </si>
  <si>
    <t xml:space="preserve">Parasuraman, R. and Riley, V. (1997) 'Humans and automation: use, misuse, disuse, abuse', Human Factors, 39(2), pp. 230-253.</t>
  </si>
  <si>
    <t xml:space="preserve">https://doi.org/10.1518/001872097778543886</t>
  </si>
  <si>
    <t xml:space="preserve">Classic statement of automation misuse through over-acceptance of system outputs.</t>
  </si>
  <si>
    <t xml:space="preserve">Pauwels, K., Ambler, T., Clark, B.H., LaPointe, P., Reibstein, D., Skiera, B., Wierenga, B. and Wiesel, T. (2009) 'Dashboards as a service: why, what, how, and what research is needed?', Journal of Service Research, 12(2), pp. 175-189.</t>
  </si>
  <si>
    <t xml:space="preserve">https://doi.org/10.1177/1094670509344213</t>
  </si>
  <si>
    <t xml:space="preserve">1.1; 2.2</t>
  </si>
  <si>
    <t xml:space="preserve">Establishes that dashboard layout, metric choice and update frequency shape interpretation and use.</t>
  </si>
  <si>
    <t xml:space="preserve">Pipino, L.L., Lee, Y.W. and Wang, R.Y. (2002) 'Data quality assessment', Communications of the ACM, 45(4), pp. 211-218.</t>
  </si>
  <si>
    <t xml:space="preserve">https://doi.org/10.1145/505248.506010</t>
  </si>
  <si>
    <t xml:space="preserve">NU Library (ACM DL)</t>
  </si>
  <si>
    <t xml:space="preserve">Reinforces that data quality must be assessed against the decision task rather than in the abstract.</t>
  </si>
  <si>
    <t xml:space="preserve">Podsakoff, P.M., MacKenzie, S.B., Lee, J.-Y. and Podsakoff, N.P. (2003) 'Common method biases in behavioral research: a critical review of the literature and recommended remedies', Journal of Applied Psychology, 88(5), pp. 879-903.</t>
  </si>
  <si>
    <t xml:space="preserve">https://doi.org/10.1037/0021-9010.88.5.879</t>
  </si>
  <si>
    <t xml:space="preserve">NU Library (APA PsycNet)</t>
  </si>
  <si>
    <t xml:space="preserve">2.7; 3.2; Table 3.6</t>
  </si>
  <si>
    <t xml:space="preserve">Basis for the critique of correlational analytics-value studies and for the argument that an experimental behavioural outcome avoids common method bias.</t>
  </si>
  <si>
    <t xml:space="preserve">Post Office Horizon IT Inquiry (2025) Volume 1 of the Post Office Horizon IT Inquiry's Final Report. London: Post Office Horizon IT Inquiry. Available at: https://www.postofficehorizoninquiry.org.uk (Accessed: 18 August 2026).</t>
  </si>
  <si>
    <t xml:space="preserve">https://www.postofficehorizoninquiry.org.uk</t>
  </si>
  <si>
    <t xml:space="preserve">Open access (public inquiry)</t>
  </si>
  <si>
    <t xml:space="preserve">1.2; 3.5; 4.2 (case C1); 5.1</t>
  </si>
  <si>
    <t xml:space="preserve">Primary evidential source for case C1 and the clearest documented instance of legitimacy asymmetry, where system data outweighed human testimony in criminal proceedings.</t>
  </si>
  <si>
    <t xml:space="preserve">Redman, T.C. (1998) 'The impact of poor data quality on the typical enterprise', Communications of the ACM, 41(2), pp. 79-82.</t>
  </si>
  <si>
    <t xml:space="preserve">https://doi.org/10.1145/269012.269025</t>
  </si>
  <si>
    <t xml:space="preserve">Establishes the organisational cost of poor data quality, against which the behavioural argument is contrasted.</t>
  </si>
  <si>
    <t xml:space="preserve">Royal Commission into the Robodebt Scheme (2023) Report. Canberra: Commonwealth of Australia. Available at: https://robodebt.royalcommission.gov.au/publications/report (Accessed: 18 August 2026).</t>
  </si>
  <si>
    <t xml:space="preserve">https://robodebt.royalcommission.gov.au/publications/report</t>
  </si>
  <si>
    <t xml:space="preserve">1.2; 3.5; 4.2 (case C5)</t>
  </si>
  <si>
    <t xml:space="preserve">Primary evidential source for case C5. Documents internal legal advice being obtained and set aside, the clearest instance of challenge overridden.</t>
  </si>
  <si>
    <t xml:space="preserve">Runco, M.A. and Jaeger, G.J. (2012) 'The standard definition of creativity', Creativity Research Journal, 24(1), pp. 92-96.</t>
  </si>
  <si>
    <t xml:space="preserve">https://doi.org/10.1080/10400419.2012.650092</t>
  </si>
  <si>
    <t xml:space="preserve">Supplies the originality-plus-effectiveness definition used to operationalise the creativity outcome measure.</t>
  </si>
  <si>
    <t xml:space="preserve">Sambasivan, N., Kapania, S., Highfill, H., Akrong, D., Paritosh, P. and Aroyo, L.M. (2021) "'Everyone wants to do the model work, not the data work": data cascades in high-stakes AI', in Proceedings of the 2021 CHI Conference on Human Factors in Computing Systems. New York: ACM, article 39.</t>
  </si>
  <si>
    <t xml:space="preserve">https://doi.org/10.1145/3411764.3445518</t>
  </si>
  <si>
    <t xml:space="preserve">Open access (ACM DL full text; Google Research)</t>
  </si>
  <si>
    <t xml:space="preserve">Confirmed via ACM DL, 18 Aug 2026</t>
  </si>
  <si>
    <t xml:space="preserve">Documents how upstream data problems compound invisibly downstream, which is the empirical analogue of the silent-defect premise.</t>
  </si>
  <si>
    <t xml:space="preserve">Sarikaya, A., Correll, M., Bartram, L., Tory, M. and Fisher, D. (2019) 'What do we talk about when we talk about dashboards?', IEEE Transactions on Visualization and Computer Graphics, 25(1), pp. 682-692.</t>
  </si>
  <si>
    <t xml:space="preserve">https://doi.org/10.1109/TVCG.2018.2864903</t>
  </si>
  <si>
    <t xml:space="preserve">1.1; 2.2; Table 2.1 (H3); Fig. 2.2; App. A</t>
  </si>
  <si>
    <t xml:space="preserve">Design-space analysis showing dashboard variants afford sharply different behaviours, from exploration to compliance monitoring.</t>
  </si>
  <si>
    <t xml:space="preserve">Saunders, M., Lewis, P. and Thornhill, A. (2019) Research Methods for Business Students. 8th edn. Harlow: Pearson.</t>
  </si>
  <si>
    <t xml:space="preserve">https://www.pearson.com/en-gb/subject-catalog/p/research-methods-for-business-students/P200000005913</t>
  </si>
  <si>
    <t xml:space="preserve">Supports the abductive reasoning strategy and the philosophical positioning of the study.</t>
  </si>
  <si>
    <t xml:space="preserve">Securities and Exchange Commission (2013) In the Matter of Knight Capital Americas LLC. Administrative Proceeding, Release No. 34-70694. Washington, DC: SEC. Available at: https://www.sec.gov/files/litigation/admin/2013/34-70694.pdf (Accessed: 18 August 2026).</t>
  </si>
  <si>
    <t xml:space="preserve">https://www.sec.gov/files/litigation/admin/2013/34-70694.pdf</t>
  </si>
  <si>
    <t xml:space="preserve">3.5; 4.2 (case C7)</t>
  </si>
  <si>
    <t xml:space="preserve">Primary evidential source for case C7. Documents 97 automated messages generated but not treated as alerts: information present, authority absent.</t>
  </si>
  <si>
    <t xml:space="preserve">Seddon, P.B., Constantinidis, D., Tamm, T. and Dod, H. (2017) 'How does business analytics contribute to business value?', Information Systems Journal, 27(3), pp. 237-269.</t>
  </si>
  <si>
    <t xml:space="preserve">https://doi.org/10.1111/isj.12101</t>
  </si>
  <si>
    <t xml:space="preserve">Evidence on the mechanisms by which analytics generates business value; part of the positive case being qualified.</t>
  </si>
  <si>
    <t xml:space="preserve">Shollo, A. and Galliers, R.D. (2016) 'Towards an understanding of the role of business intelligence systems in organisational knowing', Information Systems Journal, 26(4), pp. 339-367.</t>
  </si>
  <si>
    <t xml:space="preserve">https://doi.org/10.1111/isj.12071</t>
  </si>
  <si>
    <t xml:space="preserve">Argues BI systems participate in organisational knowing rather than merely supporting it. Bridge from cognition to institution.</t>
  </si>
  <si>
    <t xml:space="preserve">Shrestha, Y.R., Ben-Menahem, S.M. and von Krogh, G. (2019) 'Organizational decision-making structures in the age of artificial intelligence', California Management Review, 61(4), pp. 66-83.</t>
  </si>
  <si>
    <t xml:space="preserve">https://doi.org/10.1177/0008125619862257</t>
  </si>
  <si>
    <t xml:space="preserve">Frames the allocation of decision authority between humans and systems, which is the design problem the governance framework addresses.</t>
  </si>
  <si>
    <t xml:space="preserve">Simon, H.A. (1955) 'A behavioral model of rational choice', Quarterly Journal of Economics, 69(1), pp. 99-118.</t>
  </si>
  <si>
    <t xml:space="preserve">https://doi.org/10.2307/1884852</t>
  </si>
  <si>
    <t xml:space="preserve">NU Library (JSTOR / OUP)</t>
  </si>
  <si>
    <t xml:space="preserve">2.1; 2.2; App. A</t>
  </si>
  <si>
    <t xml:space="preserve">Foundational bounded rationality argument explaining why an authoritative cue terminates search.</t>
  </si>
  <si>
    <t xml:space="preserve">Skitka, L.J., Mosier, K.L. and Burdick, M. (1999) 'Does automation bias decision-making?', International Journal of Human-Computer Studies, 51(5), pp. 991-1006.</t>
  </si>
  <si>
    <t xml:space="preserve">https://doi.org/10.1006/ijhc.1999.0252</t>
  </si>
  <si>
    <t xml:space="preserve">Experimental evidence of omission and commission errors under automated cues.</t>
  </si>
  <si>
    <t xml:space="preserve">Strong, D.M., Lee, Y.W. and Wang, R.Y. (1997) 'Data quality in context', Communications of the ACM, 40(5), pp. 103-110.</t>
  </si>
  <si>
    <t xml:space="preserve">https://doi.org/10.1145/253769.253804</t>
  </si>
  <si>
    <t xml:space="preserve">Establishes that technically available information may still be unfit for a specific decision task.</t>
  </si>
  <si>
    <t xml:space="preserve">Tashakkori, A. and Teddlie, C. (eds.) (2010) SAGE Handbook of Mixed Methods in Social &amp; Behavioral Research. 2nd edn. Thousand Oaks, CA: SAGE.</t>
  </si>
  <si>
    <t xml:space="preserve">https://doi.org/10.4135/9781506335193</t>
  </si>
  <si>
    <t xml:space="preserve">Methodological warrant for treating mixed methods as a requirement of the research problem.</t>
  </si>
  <si>
    <t xml:space="preserve">Trieu, V.-H. (2017) 'Getting value from business intelligence systems: a review and research agenda', Decision Support Systems, 93, pp. 111-124.</t>
  </si>
  <si>
    <t xml:space="preserve">https://doi.org/10.1016/j.dss.2016.09.019</t>
  </si>
  <si>
    <t xml:space="preserve">1.1; Fig. 2.2</t>
  </si>
  <si>
    <t xml:space="preserve">Review establishing what is known about BI value realisation, and by omission what is not known about BI risk.</t>
  </si>
  <si>
    <t xml:space="preserve">Tufte, E.R. (2001) The Visual Display of Quantitative Information. 2nd edn. Cheshire, CT: Graphics Press.</t>
  </si>
  <si>
    <t xml:space="preserve">https://www.edwardtufte.com/book/the-visual-display-of-quantitative-information/</t>
  </si>
  <si>
    <t xml:space="preserve">NU Library (print)</t>
  </si>
  <si>
    <t xml:space="preserve">Classic reference on visual encoding and the compression of quantitative information.</t>
  </si>
  <si>
    <t xml:space="preserve">US House Committee on Transportation and Infrastructure (2020) Final Committee Report: The Design, Development &amp; Certification of the Boeing 737 MAX. Washington, DC: US House of Representatives.</t>
  </si>
  <si>
    <t xml:space="preserve">https://transportation.house.gov</t>
  </si>
  <si>
    <t xml:space="preserve">Open access (public legislature)</t>
  </si>
  <si>
    <t xml:space="preserve">Committee source identified; specific PDF to be re-confirmed before submission</t>
  </si>
  <si>
    <t xml:space="preserve">3.5; 4.2 (case C12)</t>
  </si>
  <si>
    <t xml:space="preserve">Primary evidential source for case C12. Documents engineering concerns about single-sensor reliance being raised internally without altering the outcome.</t>
  </si>
  <si>
    <t xml:space="preserve">Vasconcelos, H., J"{orke, M., Grunde-McLaughlin, M., Gerstenberg, T., Bernstein, M.S. and Krishna, R. (2023) 'Explanations can reduce overreliance on AI systems during decision-making', Proceedings of the ACM on Human-Computer Interaction, 7(CSCW1), article 129.</t>
  </si>
  <si>
    <t xml:space="preserve">https://doi.org/10.1145/3579605</t>
  </si>
  <si>
    <t xml:space="preserve">Open access (ACM DL; arXiv)</t>
  </si>
  <si>
    <t xml:space="preserve">Shows explanations reduce over-reliance only when engaging with them costs less than doing the task. Reinforces the verification-cost mechanism.</t>
  </si>
  <si>
    <t xml:space="preserve">Wamba, S.F., Gunasekaran, A., Akter, S., Ren, S.J., Dubey, R. and Childe, S.J. (2017) 'Big data analytics and firm performance: effects of dynamic capabilities', Journal of Business Research, 70, pp. 356-365.</t>
  </si>
  <si>
    <t xml:space="preserve">https://doi.org/10.1016/j.jbusres.2016.08.009</t>
  </si>
  <si>
    <t xml:space="preserve">Further evidence on analytics and firm performance in the applied operations context.</t>
  </si>
  <si>
    <t xml:space="preserve">Wang, R.Y. and Strong, D.M. (1996) 'Beyond accuracy: what data quality means to data consumers', Journal of Management Information Systems, 12(4), pp. 5-33.</t>
  </si>
  <si>
    <t xml:space="preserve">https://doi.org/10.1080/07421222.1996.11518099</t>
  </si>
  <si>
    <t xml:space="preserve">2.3; Table 2.1 (H1); Fig. 2.2; App. A</t>
  </si>
  <si>
    <t xml:space="preserve">Canonical data quality dimensions. Defines the accuracy, timeliness and completeness constructs manipulated in Strand 1.</t>
  </si>
  <si>
    <t xml:space="preserve">Ware, C. (2013) Information Visualization: Perception for Design. 3rd edn. Waltham, MA: Morgan Kaufmann.</t>
  </si>
  <si>
    <t xml:space="preserve">https://doi.org/10.1016/C2009-0-62432-6</t>
  </si>
  <si>
    <t xml:space="preserve">NU Library (ScienceDirect e-book)</t>
  </si>
  <si>
    <t xml:space="preserve">Perceptual basis for how visual encoding governs attention on a dashboard.</t>
  </si>
  <si>
    <t xml:space="preserve">Woodman, R.W., Sawyer, J.E. and Griffin, R.W. (1993) 'Toward a theory of organizational creativity', Academy of Management Review, 18(2), pp. 293-321.</t>
  </si>
  <si>
    <t xml:space="preserve">https://doi.org/10.5465/amr.1993.3997517</t>
  </si>
  <si>
    <t xml:space="preserve">Locates organisational creativity in individual, group and contextual interaction, supporting the contextual treatment adopted here.</t>
  </si>
  <si>
    <t xml:space="preserve">Yigitbasioglu, O.M. and Velcu, O. (2012) 'A review of dashboards in performance management: implications for design and research', International Journal of Accounting Information Systems, 13(1), pp. 41-59.</t>
  </si>
  <si>
    <t xml:space="preserve">https://doi.org/10.1016/j.accinf.2011.08.002</t>
  </si>
  <si>
    <t xml:space="preserve">Review of dashboard design and its implications for performance management and interpretation.</t>
  </si>
  <si>
    <t xml:space="preserve">Yin, R.K. (2018) Case Study Research and Applications: Design and Methods. 6th edn. Thousand Oaks, CA: SAGE.</t>
  </si>
  <si>
    <t xml:space="preserve">https://us.sagepub.com/en-us/nam/case-study-research-and-applications/book250150</t>
  </si>
  <si>
    <t xml:space="preserve">Supports the rejection of a single-case design and the acknowledgement of small-n comparability limits.</t>
  </si>
  <si>
    <t xml:space="preserve">Zillow Group (2021) Third Quarter 2021 Shareholder Letter. Seattle, WA: Zillow Group. Filed with the US Securities and Exchange Commission. Available at: https://www.sec.gov/Archives/edgar/data/1617640/000161764021000085/q32021991.htm (Accessed: 18 August 2026).</t>
  </si>
  <si>
    <t xml:space="preserve">https://www.sec.gov/Archives/edgar/data/1617640/000161764021000085/q32021991.htm</t>
  </si>
  <si>
    <t xml:space="preserve">Open access (SEC EDGAR)</t>
  </si>
  <si>
    <t xml:space="preserve">3.5; 4.2 (case C11)</t>
  </si>
  <si>
    <t xml:space="preserve">Primary evidential source for case C11, the only case in the sample where a challenge was raised and acted upon in time to limit harm.</t>
  </si>
  <si>
    <t xml:space="preserve">Register Summary (Draft v2)</t>
  </si>
  <si>
    <t xml:space="preserve">All figures are live formulas over the Reference Register sheet.</t>
  </si>
  <si>
    <t xml:space="preserve">A. Access route</t>
  </si>
  <si>
    <t xml:space="preserve">Open access / public document</t>
  </si>
  <si>
    <t xml:space="preserve">Newcastle University Library subscription</t>
  </si>
  <si>
    <t xml:space="preserve">Total</t>
  </si>
  <si>
    <t xml:space="preserve">B. Publication period</t>
  </si>
  <si>
    <t xml:space="preserve">2020 or later</t>
  </si>
  <si>
    <t xml:space="preserve">2010 to 2019</t>
  </si>
  <si>
    <t xml:space="preserve">Before 2010</t>
  </si>
  <si>
    <t xml:space="preserve">C. Requirement check</t>
  </si>
  <si>
    <t xml:space="preserve">Total sources cited</t>
  </si>
  <si>
    <t xml:space="preserve">Published 2018 or later</t>
  </si>
  <si>
    <t xml:space="preserve">Sources requiring re-confirmation before submission</t>
  </si>
  <si>
    <t xml:space="preserve">Official documents used as primary case evidence</t>
  </si>
  <si>
    <t xml:space="preserve">Verification method and register conventions</t>
  </si>
  <si>
    <t xml:space="preserve">Citation convention in Draft v2</t>
  </si>
  <si>
    <t xml:space="preserve">The dissertation cites by superscript numeral only, so that the prose reads continuously. Each numeral is a clickable hyperlink to the corresponding entry in the reference index, and column A of this register carries the same number.</t>
  </si>
  <si>
    <t xml:space="preserve">Why numbering is alphabetical</t>
  </si>
  <si>
    <t xml:space="preserve">Reference entries remain in the Harvard (Cite Them Right) format required by the programme and are ordered alphabetically by author. The numbering simply follows that order, so the reference index can still be read as a conventional Harvard list.</t>
  </si>
  <si>
    <t xml:space="preserve">Verification status values</t>
  </si>
  <si>
    <t xml:space="preserve">'Confirmed via Crossref' — bibliographic record retrieved and metadata matched. 'Confirmed via publisher record' — publisher or indexing page located and metadata matched. 'Link located and confirmed via search' — the official document page was located at the recorded address. 'Standard source; DOI recorded' — a widely held work whose DOI is recorded but whose link was not individually retrieved.</t>
  </si>
  <si>
    <t xml:space="preserve">Access route values</t>
  </si>
  <si>
    <t xml:space="preserve">'Open access / public document' — freely retrievable, which applies to all regulator, inquiry and royal commission sources. 'NU Library subscription' — accessible through the Newcastle University Library discovery service.</t>
  </si>
  <si>
    <t xml:space="preserve">Items to re-confirm before submission</t>
  </si>
  <si>
    <t xml:space="preserve">(1) The US House Committee report is recorded at the committee's top-level domain; substitute the exact PDF URL. (2) The MRS Code of Conduct is cited at the 2019 edition; check whether a later edition supersedes it.</t>
  </si>
  <si>
    <t xml:space="preserve">How to use this register</t>
  </si>
  <si>
    <t xml:space="preserve">Filter column E to isolate sources by access route when planning a library session. Filter column G to pull the reference list for any one chapter. Column H states why each source is present, which is useful when trimming to fit the word budget.</t>
  </si>
  <si>
    <t xml:space="preserve">Compiled</t>
  </si>
  <si>
    <t xml:space="preserve">18 August 2026 (Draft v2)</t>
  </si>
</sst>
</file>

<file path=xl/styles.xml><?xml version="1.0" encoding="utf-8"?>
<styleSheet xmlns="http://schemas.openxmlformats.org/spreadsheetml/2006/main">
  <numFmts count="2">
    <numFmt numFmtId="164" formatCode="General"/>
    <numFmt numFmtId="165" formatCode="General"/>
  </numFmts>
  <fonts count="13">
    <font>
      <sz val="11"/>
      <color theme="1"/>
      <name val="Calibri"/>
      <family val="2"/>
      <charset val="1"/>
    </font>
    <font>
      <sz val="10"/>
      <name val="Arial"/>
      <family val="0"/>
    </font>
    <font>
      <sz val="10"/>
      <name val="Arial"/>
      <family val="0"/>
    </font>
    <font>
      <sz val="10"/>
      <name val="Arial"/>
      <family val="0"/>
    </font>
    <font>
      <b val="true"/>
      <sz val="13"/>
      <color rgb="FF1F3864"/>
      <name val="Arial"/>
      <family val="0"/>
      <charset val="1"/>
    </font>
    <font>
      <i val="true"/>
      <sz val="9"/>
      <color rgb="FF595959"/>
      <name val="Arial"/>
      <family val="0"/>
      <charset val="1"/>
    </font>
    <font>
      <b val="true"/>
      <sz val="10"/>
      <color rgb="FFFFFFFF"/>
      <name val="Arial"/>
      <family val="0"/>
      <charset val="1"/>
    </font>
    <font>
      <sz val="9"/>
      <name val="Arial"/>
      <family val="0"/>
      <charset val="1"/>
    </font>
    <font>
      <u val="single"/>
      <sz val="9"/>
      <color rgb="FF0563C1"/>
      <name val="Arial"/>
      <family val="0"/>
      <charset val="1"/>
    </font>
    <font>
      <b val="true"/>
      <sz val="11"/>
      <color rgb="FF1F3864"/>
      <name val="Arial"/>
      <family val="0"/>
      <charset val="1"/>
    </font>
    <font>
      <sz val="9"/>
      <color rgb="FF000000"/>
      <name val="Arial"/>
      <family val="0"/>
      <charset val="1"/>
    </font>
    <font>
      <b val="true"/>
      <sz val="9"/>
      <name val="Arial"/>
      <family val="0"/>
      <charset val="1"/>
    </font>
    <font>
      <b val="true"/>
      <sz val="1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DDEBF7"/>
        <bgColor rgb="FFE2EFDA"/>
      </patternFill>
    </fill>
    <fill>
      <patternFill patternType="solid">
        <fgColor rgb="FFE2EFDA"/>
        <bgColor rgb="FFDDEB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DEBF7"/>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doi.org/10.1177/1094428114547952" TargetMode="External"/><Relationship Id="rId2" Type="http://schemas.openxmlformats.org/officeDocument/2006/relationships/hyperlink" Target="https://hbr.org/1998/09/how-to-kill-creativity" TargetMode="External"/><Relationship Id="rId3" Type="http://schemas.openxmlformats.org/officeDocument/2006/relationships/hyperlink" Target="https://doi.org/10.1177/0149206314527128" TargetMode="External"/><Relationship Id="rId4" Type="http://schemas.openxmlformats.org/officeDocument/2006/relationships/hyperlink" Target="https://doi.org/10.1057/palgrave.jit.2000035" TargetMode="External"/><Relationship Id="rId5" Type="http://schemas.openxmlformats.org/officeDocument/2006/relationships/hyperlink" Target="https://doi.org/10.1027/1614-2241/a000014" TargetMode="External"/><Relationship Id="rId6" Type="http://schemas.openxmlformats.org/officeDocument/2006/relationships/hyperlink" Target="https://www.autoriteitpersoonsgegevens.nl/en/current/tax-administration-fined-for-discriminatory-and-unlawful-data-processing" TargetMode="External"/><Relationship Id="rId7" Type="http://schemas.openxmlformats.org/officeDocument/2006/relationships/hyperlink" Target="https://doi.org/10.1109/TVCG.2022.3209448" TargetMode="External"/><Relationship Id="rId8" Type="http://schemas.openxmlformats.org/officeDocument/2006/relationships/hyperlink" Target="https://doi.org/10.4324/9780203090732" TargetMode="External"/><Relationship Id="rId9" Type="http://schemas.openxmlformats.org/officeDocument/2006/relationships/hyperlink" Target="https://doi.org/10.3316/QRJ0902027" TargetMode="External"/><Relationship Id="rId10" Type="http://schemas.openxmlformats.org/officeDocument/2006/relationships/hyperlink" Target="https://doi.org/10.1191/1478088706qp063oa" TargetMode="External"/><Relationship Id="rId11" Type="http://schemas.openxmlformats.org/officeDocument/2006/relationships/hyperlink" Target="https://global.oup.com/academic/product/social-research-methods-9780199689453" TargetMode="External"/><Relationship Id="rId12" Type="http://schemas.openxmlformats.org/officeDocument/2006/relationships/hyperlink" Target="https://doi.org/10.1145/3449287" TargetMode="External"/><Relationship Id="rId13" Type="http://schemas.openxmlformats.org/officeDocument/2006/relationships/hyperlink" Target="https://doi.org/10.1002/bdm.2155" TargetMode="External"/><Relationship Id="rId14" Type="http://schemas.openxmlformats.org/officeDocument/2006/relationships/hyperlink" Target="https://doi.org/10.2307/41703503" TargetMode="External"/><Relationship Id="rId15" Type="http://schemas.openxmlformats.org/officeDocument/2006/relationships/hyperlink" Target="https://www.caa.co.uk/CAP2993" TargetMode="External"/><Relationship Id="rId16" Type="http://schemas.openxmlformats.org/officeDocument/2006/relationships/hyperlink" Target="https://doi.org/10.1080/01621459.1984.10478080" TargetMode="External"/><Relationship Id="rId17" Type="http://schemas.openxmlformats.org/officeDocument/2006/relationships/hyperlink" Target="https://doi.org/10.1177/001316446002000104" TargetMode="External"/><Relationship Id="rId18" Type="http://schemas.openxmlformats.org/officeDocument/2006/relationships/hyperlink" Target="https://doi.org/10.4324/9780203771587" TargetMode="External"/><Relationship Id="rId19" Type="http://schemas.openxmlformats.org/officeDocument/2006/relationships/hyperlink" Target="https://us.sagepub.com/en-us/nam/designing-and-conducting-mixed-methods-research/book241842" TargetMode="External"/><Relationship Id="rId20" Type="http://schemas.openxmlformats.org/officeDocument/2006/relationships/hyperlink" Target="https://doi.org/10.1037/xge0000033" TargetMode="External"/><Relationship Id="rId21" Type="http://schemas.openxmlformats.org/officeDocument/2006/relationships/hyperlink" Target="https://doi.org/10.1126/sciadv.adn5290" TargetMode="External"/><Relationship Id="rId22" Type="http://schemas.openxmlformats.org/officeDocument/2006/relationships/hyperlink" Target="https://doi.org/10.5465/amr.1989.4308385" TargetMode="External"/><Relationship Id="rId23" Type="http://schemas.openxmlformats.org/officeDocument/2006/relationships/hyperlink" Target="https://doi.org/10.1016/j.accinf.2008.03.001" TargetMode="External"/><Relationship Id="rId24" Type="http://schemas.openxmlformats.org/officeDocument/2006/relationships/hyperlink" Target="https://doi.org/10.1086/517897" TargetMode="External"/><Relationship Id="rId25" Type="http://schemas.openxmlformats.org/officeDocument/2006/relationships/hyperlink" Target="https://uk.sagepub.com/en-gb/eur/discovering-statistics-using-ibm-spss-statistics/book257672" TargetMode="External"/><Relationship Id="rId26" Type="http://schemas.openxmlformats.org/officeDocument/2006/relationships/hyperlink" Target="https://www.fca.org.uk/publication/final-notices/goldman-sachs-international-2019.pdf" TargetMode="External"/><Relationship Id="rId27" Type="http://schemas.openxmlformats.org/officeDocument/2006/relationships/hyperlink" Target="https://www.fca.org.uk/publication/final-notices/tsb-bank-plc-2022.pdf" TargetMode="External"/><Relationship Id="rId28" Type="http://schemas.openxmlformats.org/officeDocument/2006/relationships/hyperlink" Target="https://doi.org/10.1111/ijmr.12183" TargetMode="External"/><Relationship Id="rId29" Type="http://schemas.openxmlformats.org/officeDocument/2006/relationships/hyperlink" Target="https://doi.org/10.1136/amiajnl-2011-000089" TargetMode="External"/><Relationship Id="rId30" Type="http://schemas.openxmlformats.org/officeDocument/2006/relationships/hyperlink" Target="https://doi.org/10.1177/1525822X05279903" TargetMode="External"/><Relationship Id="rId31" Type="http://schemas.openxmlformats.org/officeDocument/2006/relationships/hyperlink" Target="https://doi.org/10.1016/j.jbusres.2016.08.004" TargetMode="External"/><Relationship Id="rId32" Type="http://schemas.openxmlformats.org/officeDocument/2006/relationships/hyperlink" Target="https://doi.org/10.1016/j.jbusres.2016.08.007" TargetMode="External"/><Relationship Id="rId33" Type="http://schemas.openxmlformats.org/officeDocument/2006/relationships/hyperlink" Target="https://doi.org/10.1108/IJOPM-02-2015-0078" TargetMode="External"/><Relationship Id="rId34" Type="http://schemas.openxmlformats.org/officeDocument/2006/relationships/hyperlink" Target="https://www.penguin.co.uk/books/56314/thinking-fast-and-slow" TargetMode="External"/><Relationship Id="rId35" Type="http://schemas.openxmlformats.org/officeDocument/2006/relationships/hyperlink" Target="https://doi.org/10.5465/annals.2018.0174" TargetMode="External"/><Relationship Id="rId36" Type="http://schemas.openxmlformats.org/officeDocument/2006/relationships/hyperlink" Target="https://us.sagepub.com/en-us/nam/content-analysis/book258450" TargetMode="External"/><Relationship Id="rId37" Type="http://schemas.openxmlformats.org/officeDocument/2006/relationships/hyperlink" Target="https://doi.org/10.2307/2529310" TargetMode="External"/><Relationship Id="rId38" Type="http://schemas.openxmlformats.org/officeDocument/2006/relationships/hyperlink" Target="https://doi.org/10.1287/orsc.2021.1549" TargetMode="External"/><Relationship Id="rId39" Type="http://schemas.openxmlformats.org/officeDocument/2006/relationships/hyperlink" Target="https://us.sagepub.com/en-us/nam/naturalistic-inquiry/book842" TargetMode="External"/><Relationship Id="rId40" Type="http://schemas.openxmlformats.org/officeDocument/2006/relationships/hyperlink" Target="https://doi.org/10.1016/j.obhdp.2018.12.005" TargetMode="External"/><Relationship Id="rId41" Type="http://schemas.openxmlformats.org/officeDocument/2006/relationships/hyperlink" Target="https://doi.org/10.1093/jamia/ocw105" TargetMode="External"/><Relationship Id="rId42" Type="http://schemas.openxmlformats.org/officeDocument/2006/relationships/hyperlink" Target="https://doi.org/10.1016/j.techfore.2021.121390" TargetMode="External"/><Relationship Id="rId43" Type="http://schemas.openxmlformats.org/officeDocument/2006/relationships/hyperlink" Target="https://www.mrs.org.uk/standards/code-of-conduct" TargetMode="External"/><Relationship Id="rId44" Type="http://schemas.openxmlformats.org/officeDocument/2006/relationships/hyperlink" Target="https://doi.org/10.1016/j.im.2021.103434" TargetMode="External"/><Relationship Id="rId45" Type="http://schemas.openxmlformats.org/officeDocument/2006/relationships/hyperlink" Target="https://doi.org/10.1207/s15327108ijap0801_3" TargetMode="External"/><Relationship Id="rId46" Type="http://schemas.openxmlformats.org/officeDocument/2006/relationships/hyperlink" Target="https://doi.org/10.1016/j.bushor.2020.01.006" TargetMode="External"/><Relationship Id="rId47" Type="http://schemas.openxmlformats.org/officeDocument/2006/relationships/hyperlink" Target="https://osr.statisticsauthority.gov.uk/publication/ensuring-statistical-models-command-public-confidence/" TargetMode="External"/><Relationship Id="rId48" Type="http://schemas.openxmlformats.org/officeDocument/2006/relationships/hyperlink" Target="https://www.occ.gov/news-issuances/news-releases/2020/nr-occ-2020-132.html" TargetMode="External"/><Relationship Id="rId49" Type="http://schemas.openxmlformats.org/officeDocument/2006/relationships/hyperlink" Target="https://doi.org/10.1177/0018720810376055" TargetMode="External"/><Relationship Id="rId50" Type="http://schemas.openxmlformats.org/officeDocument/2006/relationships/hyperlink" Target="https://doi.org/10.1518/001872097778543886" TargetMode="External"/><Relationship Id="rId51" Type="http://schemas.openxmlformats.org/officeDocument/2006/relationships/hyperlink" Target="https://doi.org/10.1177/1094670509344213" TargetMode="External"/><Relationship Id="rId52" Type="http://schemas.openxmlformats.org/officeDocument/2006/relationships/hyperlink" Target="https://doi.org/10.1145/505248.506010" TargetMode="External"/><Relationship Id="rId53" Type="http://schemas.openxmlformats.org/officeDocument/2006/relationships/hyperlink" Target="https://doi.org/10.1037/0021-9010.88.5.879" TargetMode="External"/><Relationship Id="rId54" Type="http://schemas.openxmlformats.org/officeDocument/2006/relationships/hyperlink" Target="https://www.postofficehorizoninquiry.org.uk/" TargetMode="External"/><Relationship Id="rId55" Type="http://schemas.openxmlformats.org/officeDocument/2006/relationships/hyperlink" Target="https://doi.org/10.1145/269012.269025" TargetMode="External"/><Relationship Id="rId56" Type="http://schemas.openxmlformats.org/officeDocument/2006/relationships/hyperlink" Target="https://robodebt.royalcommission.gov.au/publications/report" TargetMode="External"/><Relationship Id="rId57" Type="http://schemas.openxmlformats.org/officeDocument/2006/relationships/hyperlink" Target="https://doi.org/10.1080/10400419.2012.650092" TargetMode="External"/><Relationship Id="rId58" Type="http://schemas.openxmlformats.org/officeDocument/2006/relationships/hyperlink" Target="https://doi.org/10.1145/3411764.3445518" TargetMode="External"/><Relationship Id="rId59" Type="http://schemas.openxmlformats.org/officeDocument/2006/relationships/hyperlink" Target="https://doi.org/10.1109/TVCG.2018.2864903" TargetMode="External"/><Relationship Id="rId60" Type="http://schemas.openxmlformats.org/officeDocument/2006/relationships/hyperlink" Target="https://www.pearson.com/en-gb/subject-catalog/p/research-methods-for-business-students/P200000005913" TargetMode="External"/><Relationship Id="rId61" Type="http://schemas.openxmlformats.org/officeDocument/2006/relationships/hyperlink" Target="https://www.sec.gov/files/litigation/admin/2013/34-70694.pdf" TargetMode="External"/><Relationship Id="rId62" Type="http://schemas.openxmlformats.org/officeDocument/2006/relationships/hyperlink" Target="https://doi.org/10.1111/isj.12101" TargetMode="External"/><Relationship Id="rId63" Type="http://schemas.openxmlformats.org/officeDocument/2006/relationships/hyperlink" Target="https://doi.org/10.1111/isj.12071" TargetMode="External"/><Relationship Id="rId64" Type="http://schemas.openxmlformats.org/officeDocument/2006/relationships/hyperlink" Target="https://doi.org/10.1177/0008125619862257" TargetMode="External"/><Relationship Id="rId65" Type="http://schemas.openxmlformats.org/officeDocument/2006/relationships/hyperlink" Target="https://doi.org/10.2307/1884852" TargetMode="External"/><Relationship Id="rId66" Type="http://schemas.openxmlformats.org/officeDocument/2006/relationships/hyperlink" Target="https://doi.org/10.1006/ijhc.1999.0252" TargetMode="External"/><Relationship Id="rId67" Type="http://schemas.openxmlformats.org/officeDocument/2006/relationships/hyperlink" Target="https://doi.org/10.1145/253769.253804" TargetMode="External"/><Relationship Id="rId68" Type="http://schemas.openxmlformats.org/officeDocument/2006/relationships/hyperlink" Target="https://doi.org/10.4135/9781506335193" TargetMode="External"/><Relationship Id="rId69" Type="http://schemas.openxmlformats.org/officeDocument/2006/relationships/hyperlink" Target="https://doi.org/10.1016/j.dss.2016.09.019" TargetMode="External"/><Relationship Id="rId70" Type="http://schemas.openxmlformats.org/officeDocument/2006/relationships/hyperlink" Target="https://www.edwardtufte.com/book/the-visual-display-of-quantitative-information/" TargetMode="External"/><Relationship Id="rId71" Type="http://schemas.openxmlformats.org/officeDocument/2006/relationships/hyperlink" Target="https://transportation.house.gov/" TargetMode="External"/><Relationship Id="rId72" Type="http://schemas.openxmlformats.org/officeDocument/2006/relationships/hyperlink" Target="https://doi.org/10.1145/3579605" TargetMode="External"/><Relationship Id="rId73" Type="http://schemas.openxmlformats.org/officeDocument/2006/relationships/hyperlink" Target="https://doi.org/10.1016/j.jbusres.2016.08.009" TargetMode="External"/><Relationship Id="rId74" Type="http://schemas.openxmlformats.org/officeDocument/2006/relationships/hyperlink" Target="https://doi.org/10.1080/07421222.1996.11518099" TargetMode="External"/><Relationship Id="rId75" Type="http://schemas.openxmlformats.org/officeDocument/2006/relationships/hyperlink" Target="https://doi.org/10.1016/C2009-0-62432-6" TargetMode="External"/><Relationship Id="rId76" Type="http://schemas.openxmlformats.org/officeDocument/2006/relationships/hyperlink" Target="https://doi.org/10.5465/amr.1993.3997517" TargetMode="External"/><Relationship Id="rId77" Type="http://schemas.openxmlformats.org/officeDocument/2006/relationships/hyperlink" Target="https://doi.org/10.1016/j.accinf.2011.08.002" TargetMode="External"/><Relationship Id="rId78" Type="http://schemas.openxmlformats.org/officeDocument/2006/relationships/hyperlink" Target="https://us.sagepub.com/en-us/nam/case-study-research-and-applications/book250150" TargetMode="External"/><Relationship Id="rId79" Type="http://schemas.openxmlformats.org/officeDocument/2006/relationships/hyperlink" Target="https://www.sec.gov/Archives/edgar/data/1617640/000161764021000085/q32021991.htm" TargetMode="External"/><Relationship Id="rId80"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7"/>
    <col collapsed="false" customWidth="true" hidden="false" outlineLevel="0" max="3" min="3" style="1" width="78"/>
    <col collapsed="false" customWidth="true" hidden="false" outlineLevel="0" max="4" min="4" style="1" width="50"/>
    <col collapsed="false" customWidth="true" hidden="false" outlineLevel="0" max="5" min="5" style="1" width="24"/>
    <col collapsed="false" customWidth="true" hidden="false" outlineLevel="0" max="6" min="6" style="1" width="36"/>
    <col collapsed="false" customWidth="true" hidden="false" outlineLevel="0" max="7" min="7" style="1" width="22"/>
    <col collapsed="false" customWidth="true" hidden="false" outlineLevel="0" max="8" min="8" style="1" width="62"/>
    <col collapsed="false" customWidth="true" hidden="false" outlineLevel="0" max="9" min="9" style="1" width="11"/>
  </cols>
  <sheetData>
    <row r="1" customFormat="false" ht="15.75" hidden="false" customHeight="true" outlineLevel="0" collapsed="false">
      <c r="A1" s="2" t="s">
        <v>0</v>
      </c>
      <c r="B1" s="2"/>
      <c r="C1" s="2"/>
      <c r="D1" s="2"/>
      <c r="E1" s="2"/>
      <c r="F1" s="2"/>
      <c r="G1" s="2"/>
      <c r="H1" s="2"/>
      <c r="I1" s="2"/>
    </row>
    <row r="2" customFormat="false" ht="15" hidden="false" customHeight="true" outlineLevel="0" collapsed="false">
      <c r="A2" s="3" t="s">
        <v>1</v>
      </c>
      <c r="B2" s="3"/>
      <c r="C2" s="3"/>
      <c r="D2" s="3"/>
      <c r="E2" s="3"/>
      <c r="F2" s="3"/>
      <c r="G2" s="3"/>
      <c r="H2" s="3"/>
      <c r="I2" s="3"/>
    </row>
    <row r="4" customFormat="false" ht="33.75" hidden="false" customHeight="true" outlineLevel="0" collapsed="false">
      <c r="A4" s="4" t="s">
        <v>2</v>
      </c>
      <c r="B4" s="4" t="s">
        <v>3</v>
      </c>
      <c r="C4" s="4" t="s">
        <v>4</v>
      </c>
      <c r="D4" s="4" t="s">
        <v>5</v>
      </c>
      <c r="E4" s="4" t="s">
        <v>6</v>
      </c>
      <c r="F4" s="4" t="s">
        <v>7</v>
      </c>
      <c r="G4" s="4" t="s">
        <v>8</v>
      </c>
      <c r="H4" s="4" t="s">
        <v>9</v>
      </c>
      <c r="I4" s="4" t="s">
        <v>10</v>
      </c>
    </row>
    <row r="5" customFormat="false" ht="32.25" hidden="false" customHeight="true" outlineLevel="0" collapsed="false">
      <c r="A5" s="5" t="n">
        <v>1</v>
      </c>
      <c r="B5" s="5" t="n">
        <v>2014</v>
      </c>
      <c r="C5" s="6" t="s">
        <v>11</v>
      </c>
      <c r="D5" s="6" t="s">
        <v>12</v>
      </c>
      <c r="E5" s="7" t="s">
        <v>13</v>
      </c>
      <c r="F5" s="6" t="s">
        <v>14</v>
      </c>
      <c r="G5" s="6" t="s">
        <v>15</v>
      </c>
      <c r="H5" s="6" t="s">
        <v>16</v>
      </c>
      <c r="I5" s="8" t="s">
        <v>10</v>
      </c>
    </row>
    <row r="6" customFormat="false" ht="32.25" hidden="false" customHeight="true" outlineLevel="0" collapsed="false">
      <c r="A6" s="5" t="n">
        <v>2</v>
      </c>
      <c r="B6" s="5" t="n">
        <v>1998</v>
      </c>
      <c r="C6" s="6" t="s">
        <v>17</v>
      </c>
      <c r="D6" s="6" t="s">
        <v>18</v>
      </c>
      <c r="E6" s="7" t="s">
        <v>19</v>
      </c>
      <c r="F6" s="6" t="s">
        <v>20</v>
      </c>
      <c r="G6" s="6" t="s">
        <v>21</v>
      </c>
      <c r="H6" s="6" t="s">
        <v>22</v>
      </c>
      <c r="I6" s="8" t="s">
        <v>10</v>
      </c>
    </row>
    <row r="7" customFormat="false" ht="32.25" hidden="false" customHeight="true" outlineLevel="0" collapsed="false">
      <c r="A7" s="5" t="n">
        <v>3</v>
      </c>
      <c r="B7" s="5" t="n">
        <v>2014</v>
      </c>
      <c r="C7" s="6" t="s">
        <v>23</v>
      </c>
      <c r="D7" s="6" t="s">
        <v>24</v>
      </c>
      <c r="E7" s="7" t="s">
        <v>13</v>
      </c>
      <c r="F7" s="6" t="s">
        <v>14</v>
      </c>
      <c r="G7" s="6" t="s">
        <v>25</v>
      </c>
      <c r="H7" s="6" t="s">
        <v>26</v>
      </c>
      <c r="I7" s="8" t="s">
        <v>10</v>
      </c>
    </row>
    <row r="8" customFormat="false" ht="21.75" hidden="false" customHeight="true" outlineLevel="0" collapsed="false">
      <c r="A8" s="5" t="n">
        <v>4</v>
      </c>
      <c r="B8" s="5" t="n">
        <v>2005</v>
      </c>
      <c r="C8" s="6" t="s">
        <v>27</v>
      </c>
      <c r="D8" s="6" t="s">
        <v>28</v>
      </c>
      <c r="E8" s="7" t="s">
        <v>29</v>
      </c>
      <c r="F8" s="6" t="s">
        <v>14</v>
      </c>
      <c r="G8" s="6" t="s">
        <v>30</v>
      </c>
      <c r="H8" s="6" t="s">
        <v>31</v>
      </c>
      <c r="I8" s="8" t="s">
        <v>10</v>
      </c>
    </row>
    <row r="9" customFormat="false" ht="21.75" hidden="false" customHeight="true" outlineLevel="0" collapsed="false">
      <c r="A9" s="5" t="n">
        <v>5</v>
      </c>
      <c r="B9" s="5" t="n">
        <v>2010</v>
      </c>
      <c r="C9" s="6" t="s">
        <v>32</v>
      </c>
      <c r="D9" s="6" t="s">
        <v>33</v>
      </c>
      <c r="E9" s="7" t="s">
        <v>34</v>
      </c>
      <c r="F9" s="6" t="s">
        <v>14</v>
      </c>
      <c r="G9" s="6" t="s">
        <v>15</v>
      </c>
      <c r="H9" s="6" t="s">
        <v>35</v>
      </c>
      <c r="I9" s="8" t="s">
        <v>10</v>
      </c>
    </row>
    <row r="10" customFormat="false" ht="42.75" hidden="false" customHeight="true" outlineLevel="0" collapsed="false">
      <c r="A10" s="5" t="n">
        <v>6</v>
      </c>
      <c r="B10" s="5" t="n">
        <v>2021</v>
      </c>
      <c r="C10" s="6" t="s">
        <v>36</v>
      </c>
      <c r="D10" s="6" t="s">
        <v>37</v>
      </c>
      <c r="E10" s="9" t="s">
        <v>38</v>
      </c>
      <c r="F10" s="6" t="s">
        <v>39</v>
      </c>
      <c r="G10" s="6" t="s">
        <v>40</v>
      </c>
      <c r="H10" s="6" t="s">
        <v>41</v>
      </c>
      <c r="I10" s="8" t="s">
        <v>10</v>
      </c>
    </row>
    <row r="11" customFormat="false" ht="32.25" hidden="false" customHeight="true" outlineLevel="0" collapsed="false">
      <c r="A11" s="5" t="n">
        <v>7</v>
      </c>
      <c r="B11" s="5" t="n">
        <v>2023</v>
      </c>
      <c r="C11" s="6" t="s">
        <v>42</v>
      </c>
      <c r="D11" s="6" t="s">
        <v>43</v>
      </c>
      <c r="E11" s="7" t="s">
        <v>44</v>
      </c>
      <c r="F11" s="6" t="s">
        <v>45</v>
      </c>
      <c r="G11" s="6" t="s">
        <v>46</v>
      </c>
      <c r="H11" s="6" t="s">
        <v>47</v>
      </c>
      <c r="I11" s="8" t="s">
        <v>10</v>
      </c>
    </row>
    <row r="12" customFormat="false" ht="21.75" hidden="false" customHeight="true" outlineLevel="0" collapsed="false">
      <c r="A12" s="5" t="n">
        <v>8</v>
      </c>
      <c r="B12" s="5" t="n">
        <v>2008</v>
      </c>
      <c r="C12" s="6" t="s">
        <v>48</v>
      </c>
      <c r="D12" s="6" t="s">
        <v>49</v>
      </c>
      <c r="E12" s="7" t="s">
        <v>50</v>
      </c>
      <c r="F12" s="6" t="s">
        <v>14</v>
      </c>
      <c r="G12" s="6" t="s">
        <v>51</v>
      </c>
      <c r="H12" s="6" t="s">
        <v>52</v>
      </c>
      <c r="I12" s="8" t="s">
        <v>10</v>
      </c>
    </row>
    <row r="13" customFormat="false" ht="21.75" hidden="false" customHeight="true" outlineLevel="0" collapsed="false">
      <c r="A13" s="5" t="n">
        <v>9</v>
      </c>
      <c r="B13" s="5" t="n">
        <v>2009</v>
      </c>
      <c r="C13" s="6" t="s">
        <v>53</v>
      </c>
      <c r="D13" s="6" t="s">
        <v>54</v>
      </c>
      <c r="E13" s="7" t="s">
        <v>55</v>
      </c>
      <c r="F13" s="6" t="s">
        <v>14</v>
      </c>
      <c r="G13" s="6" t="s">
        <v>56</v>
      </c>
      <c r="H13" s="6" t="s">
        <v>57</v>
      </c>
      <c r="I13" s="8" t="s">
        <v>10</v>
      </c>
    </row>
    <row r="14" customFormat="false" ht="21.75" hidden="false" customHeight="true" outlineLevel="0" collapsed="false">
      <c r="A14" s="5" t="n">
        <v>10</v>
      </c>
      <c r="B14" s="5" t="n">
        <v>2006</v>
      </c>
      <c r="C14" s="6" t="s">
        <v>58</v>
      </c>
      <c r="D14" s="6" t="s">
        <v>59</v>
      </c>
      <c r="E14" s="7" t="s">
        <v>60</v>
      </c>
      <c r="F14" s="6" t="s">
        <v>14</v>
      </c>
      <c r="G14" s="6" t="s">
        <v>61</v>
      </c>
      <c r="H14" s="6" t="s">
        <v>62</v>
      </c>
      <c r="I14" s="8" t="s">
        <v>10</v>
      </c>
    </row>
    <row r="15" customFormat="false" ht="21.75" hidden="false" customHeight="true" outlineLevel="0" collapsed="false">
      <c r="A15" s="5" t="n">
        <v>11</v>
      </c>
      <c r="B15" s="5" t="n">
        <v>2016</v>
      </c>
      <c r="C15" s="6" t="s">
        <v>63</v>
      </c>
      <c r="D15" s="6" t="s">
        <v>64</v>
      </c>
      <c r="E15" s="7" t="s">
        <v>65</v>
      </c>
      <c r="F15" s="6" t="s">
        <v>66</v>
      </c>
      <c r="G15" s="6" t="s">
        <v>61</v>
      </c>
      <c r="H15" s="6" t="s">
        <v>67</v>
      </c>
      <c r="I15" s="8" t="s">
        <v>10</v>
      </c>
    </row>
    <row r="16" customFormat="false" ht="32.25" hidden="false" customHeight="true" outlineLevel="0" collapsed="false">
      <c r="A16" s="5" t="n">
        <v>12</v>
      </c>
      <c r="B16" s="5" t="n">
        <v>2021</v>
      </c>
      <c r="C16" s="6" t="s">
        <v>68</v>
      </c>
      <c r="D16" s="6" t="s">
        <v>69</v>
      </c>
      <c r="E16" s="9" t="s">
        <v>70</v>
      </c>
      <c r="F16" s="6" t="s">
        <v>71</v>
      </c>
      <c r="G16" s="6" t="s">
        <v>72</v>
      </c>
      <c r="H16" s="6" t="s">
        <v>73</v>
      </c>
      <c r="I16" s="8" t="s">
        <v>10</v>
      </c>
    </row>
    <row r="17" customFormat="false" ht="21.75" hidden="false" customHeight="true" outlineLevel="0" collapsed="false">
      <c r="A17" s="5" t="n">
        <v>13</v>
      </c>
      <c r="B17" s="5" t="n">
        <v>2020</v>
      </c>
      <c r="C17" s="6" t="s">
        <v>74</v>
      </c>
      <c r="D17" s="6" t="s">
        <v>75</v>
      </c>
      <c r="E17" s="9" t="s">
        <v>76</v>
      </c>
      <c r="F17" s="6" t="s">
        <v>45</v>
      </c>
      <c r="G17" s="6" t="s">
        <v>77</v>
      </c>
      <c r="H17" s="6" t="s">
        <v>78</v>
      </c>
      <c r="I17" s="8" t="s">
        <v>10</v>
      </c>
    </row>
    <row r="18" customFormat="false" ht="21.75" hidden="false" customHeight="true" outlineLevel="0" collapsed="false">
      <c r="A18" s="5" t="n">
        <v>14</v>
      </c>
      <c r="B18" s="5" t="n">
        <v>2012</v>
      </c>
      <c r="C18" s="6" t="s">
        <v>79</v>
      </c>
      <c r="D18" s="6" t="s">
        <v>80</v>
      </c>
      <c r="E18" s="7" t="s">
        <v>81</v>
      </c>
      <c r="F18" s="6" t="s">
        <v>14</v>
      </c>
      <c r="G18" s="6" t="s">
        <v>82</v>
      </c>
      <c r="H18" s="6" t="s">
        <v>83</v>
      </c>
      <c r="I18" s="8" t="s">
        <v>10</v>
      </c>
    </row>
    <row r="19" customFormat="false" ht="32.25" hidden="false" customHeight="true" outlineLevel="0" collapsed="false">
      <c r="A19" s="5" t="n">
        <v>15</v>
      </c>
      <c r="B19" s="5" t="n">
        <v>2024</v>
      </c>
      <c r="C19" s="6" t="s">
        <v>84</v>
      </c>
      <c r="D19" s="6" t="s">
        <v>85</v>
      </c>
      <c r="E19" s="9" t="s">
        <v>38</v>
      </c>
      <c r="F19" s="6" t="s">
        <v>86</v>
      </c>
      <c r="G19" s="6" t="s">
        <v>87</v>
      </c>
      <c r="H19" s="6" t="s">
        <v>88</v>
      </c>
      <c r="I19" s="8" t="s">
        <v>10</v>
      </c>
    </row>
    <row r="20" customFormat="false" ht="32.25" hidden="false" customHeight="true" outlineLevel="0" collapsed="false">
      <c r="A20" s="5" t="n">
        <v>16</v>
      </c>
      <c r="B20" s="5" t="n">
        <v>1984</v>
      </c>
      <c r="C20" s="6" t="s">
        <v>89</v>
      </c>
      <c r="D20" s="6" t="s">
        <v>90</v>
      </c>
      <c r="E20" s="7" t="s">
        <v>91</v>
      </c>
      <c r="F20" s="6" t="s">
        <v>14</v>
      </c>
      <c r="G20" s="6" t="s">
        <v>92</v>
      </c>
      <c r="H20" s="6" t="s">
        <v>93</v>
      </c>
      <c r="I20" s="8" t="s">
        <v>10</v>
      </c>
    </row>
    <row r="21" customFormat="false" ht="21.75" hidden="false" customHeight="true" outlineLevel="0" collapsed="false">
      <c r="A21" s="5" t="n">
        <v>17</v>
      </c>
      <c r="B21" s="5" t="n">
        <v>1960</v>
      </c>
      <c r="C21" s="6" t="s">
        <v>94</v>
      </c>
      <c r="D21" s="6" t="s">
        <v>95</v>
      </c>
      <c r="E21" s="7" t="s">
        <v>13</v>
      </c>
      <c r="F21" s="6" t="s">
        <v>14</v>
      </c>
      <c r="G21" s="6" t="s">
        <v>96</v>
      </c>
      <c r="H21" s="6" t="s">
        <v>97</v>
      </c>
      <c r="I21" s="8" t="s">
        <v>10</v>
      </c>
    </row>
    <row r="22" customFormat="false" ht="21.75" hidden="false" customHeight="true" outlineLevel="0" collapsed="false">
      <c r="A22" s="5" t="n">
        <v>18</v>
      </c>
      <c r="B22" s="5" t="n">
        <v>1988</v>
      </c>
      <c r="C22" s="6" t="s">
        <v>98</v>
      </c>
      <c r="D22" s="6" t="s">
        <v>99</v>
      </c>
      <c r="E22" s="7" t="s">
        <v>50</v>
      </c>
      <c r="F22" s="6" t="s">
        <v>14</v>
      </c>
      <c r="G22" s="6" t="s">
        <v>100</v>
      </c>
      <c r="H22" s="6" t="s">
        <v>101</v>
      </c>
      <c r="I22" s="8" t="s">
        <v>10</v>
      </c>
    </row>
    <row r="23" customFormat="false" ht="21.75" hidden="false" customHeight="true" outlineLevel="0" collapsed="false">
      <c r="A23" s="5" t="n">
        <v>19</v>
      </c>
      <c r="B23" s="5" t="n">
        <v>2018</v>
      </c>
      <c r="C23" s="6" t="s">
        <v>102</v>
      </c>
      <c r="D23" s="6" t="s">
        <v>103</v>
      </c>
      <c r="E23" s="7" t="s">
        <v>104</v>
      </c>
      <c r="F23" s="6" t="s">
        <v>66</v>
      </c>
      <c r="G23" s="6" t="s">
        <v>51</v>
      </c>
      <c r="H23" s="6" t="s">
        <v>105</v>
      </c>
      <c r="I23" s="8" t="s">
        <v>10</v>
      </c>
    </row>
    <row r="24" customFormat="false" ht="21.75" hidden="false" customHeight="true" outlineLevel="0" collapsed="false">
      <c r="A24" s="5" t="n">
        <v>20</v>
      </c>
      <c r="B24" s="5" t="n">
        <v>2015</v>
      </c>
      <c r="C24" s="6" t="s">
        <v>106</v>
      </c>
      <c r="D24" s="6" t="s">
        <v>107</v>
      </c>
      <c r="E24" s="7" t="s">
        <v>108</v>
      </c>
      <c r="F24" s="6" t="s">
        <v>14</v>
      </c>
      <c r="G24" s="6" t="s">
        <v>109</v>
      </c>
      <c r="H24" s="6" t="s">
        <v>110</v>
      </c>
      <c r="I24" s="8" t="s">
        <v>10</v>
      </c>
    </row>
    <row r="25" customFormat="false" ht="21.75" hidden="false" customHeight="true" outlineLevel="0" collapsed="false">
      <c r="A25" s="5" t="n">
        <v>21</v>
      </c>
      <c r="B25" s="5" t="n">
        <v>2024</v>
      </c>
      <c r="C25" s="6" t="s">
        <v>111</v>
      </c>
      <c r="D25" s="6" t="s">
        <v>112</v>
      </c>
      <c r="E25" s="9" t="s">
        <v>113</v>
      </c>
      <c r="F25" s="6" t="s">
        <v>114</v>
      </c>
      <c r="G25" s="6" t="s">
        <v>21</v>
      </c>
      <c r="H25" s="6" t="s">
        <v>115</v>
      </c>
      <c r="I25" s="8" t="s">
        <v>10</v>
      </c>
    </row>
    <row r="26" customFormat="false" ht="21.75" hidden="false" customHeight="true" outlineLevel="0" collapsed="false">
      <c r="A26" s="5" t="n">
        <v>22</v>
      </c>
      <c r="B26" s="5" t="n">
        <v>1989</v>
      </c>
      <c r="C26" s="6" t="s">
        <v>116</v>
      </c>
      <c r="D26" s="6" t="s">
        <v>117</v>
      </c>
      <c r="E26" s="7" t="s">
        <v>118</v>
      </c>
      <c r="F26" s="6" t="s">
        <v>14</v>
      </c>
      <c r="G26" s="6" t="s">
        <v>119</v>
      </c>
      <c r="H26" s="6" t="s">
        <v>120</v>
      </c>
      <c r="I26" s="8" t="s">
        <v>10</v>
      </c>
    </row>
    <row r="27" customFormat="false" ht="32.25" hidden="false" customHeight="true" outlineLevel="0" collapsed="false">
      <c r="A27" s="5" t="n">
        <v>23</v>
      </c>
      <c r="B27" s="5" t="n">
        <v>2008</v>
      </c>
      <c r="C27" s="6" t="s">
        <v>121</v>
      </c>
      <c r="D27" s="6" t="s">
        <v>122</v>
      </c>
      <c r="E27" s="7" t="s">
        <v>123</v>
      </c>
      <c r="F27" s="6" t="s">
        <v>14</v>
      </c>
      <c r="G27" s="6" t="s">
        <v>124</v>
      </c>
      <c r="H27" s="6" t="s">
        <v>125</v>
      </c>
      <c r="I27" s="8" t="s">
        <v>10</v>
      </c>
    </row>
    <row r="28" customFormat="false" ht="21.75" hidden="false" customHeight="true" outlineLevel="0" collapsed="false">
      <c r="A28" s="5" t="n">
        <v>24</v>
      </c>
      <c r="B28" s="5" t="n">
        <v>2007</v>
      </c>
      <c r="C28" s="6" t="s">
        <v>126</v>
      </c>
      <c r="D28" s="6" t="s">
        <v>127</v>
      </c>
      <c r="E28" s="7" t="s">
        <v>128</v>
      </c>
      <c r="F28" s="6" t="s">
        <v>14</v>
      </c>
      <c r="G28" s="6" t="s">
        <v>129</v>
      </c>
      <c r="H28" s="6" t="s">
        <v>130</v>
      </c>
      <c r="I28" s="8" t="s">
        <v>10</v>
      </c>
    </row>
    <row r="29" customFormat="false" ht="21.75" hidden="false" customHeight="true" outlineLevel="0" collapsed="false">
      <c r="A29" s="5" t="n">
        <v>25</v>
      </c>
      <c r="B29" s="5" t="n">
        <v>2018</v>
      </c>
      <c r="C29" s="6" t="s">
        <v>131</v>
      </c>
      <c r="D29" s="6" t="s">
        <v>132</v>
      </c>
      <c r="E29" s="7" t="s">
        <v>104</v>
      </c>
      <c r="F29" s="6" t="s">
        <v>66</v>
      </c>
      <c r="G29" s="6" t="s">
        <v>133</v>
      </c>
      <c r="H29" s="6" t="s">
        <v>134</v>
      </c>
      <c r="I29" s="8" t="s">
        <v>10</v>
      </c>
    </row>
    <row r="30" customFormat="false" ht="32.25" hidden="false" customHeight="true" outlineLevel="0" collapsed="false">
      <c r="A30" s="5" t="n">
        <v>26</v>
      </c>
      <c r="B30" s="5" t="n">
        <v>2019</v>
      </c>
      <c r="C30" s="6" t="s">
        <v>135</v>
      </c>
      <c r="D30" s="6" t="s">
        <v>136</v>
      </c>
      <c r="E30" s="9" t="s">
        <v>38</v>
      </c>
      <c r="F30" s="6" t="s">
        <v>137</v>
      </c>
      <c r="G30" s="6" t="s">
        <v>138</v>
      </c>
      <c r="H30" s="6" t="s">
        <v>139</v>
      </c>
      <c r="I30" s="8" t="s">
        <v>10</v>
      </c>
    </row>
    <row r="31" customFormat="false" ht="21.75" hidden="false" customHeight="true" outlineLevel="0" collapsed="false">
      <c r="A31" s="5" t="n">
        <v>27</v>
      </c>
      <c r="B31" s="5" t="n">
        <v>2022</v>
      </c>
      <c r="C31" s="6" t="s">
        <v>140</v>
      </c>
      <c r="D31" s="6" t="s">
        <v>141</v>
      </c>
      <c r="E31" s="9" t="s">
        <v>38</v>
      </c>
      <c r="F31" s="6" t="s">
        <v>39</v>
      </c>
      <c r="G31" s="6" t="s">
        <v>142</v>
      </c>
      <c r="H31" s="6" t="s">
        <v>143</v>
      </c>
      <c r="I31" s="8" t="s">
        <v>10</v>
      </c>
    </row>
    <row r="32" customFormat="false" ht="32.25" hidden="false" customHeight="true" outlineLevel="0" collapsed="false">
      <c r="A32" s="5" t="n">
        <v>28</v>
      </c>
      <c r="B32" s="5" t="n">
        <v>2018</v>
      </c>
      <c r="C32" s="6" t="s">
        <v>144</v>
      </c>
      <c r="D32" s="6" t="s">
        <v>145</v>
      </c>
      <c r="E32" s="7" t="s">
        <v>146</v>
      </c>
      <c r="F32" s="6" t="s">
        <v>45</v>
      </c>
      <c r="G32" s="6" t="s">
        <v>147</v>
      </c>
      <c r="H32" s="6" t="s">
        <v>148</v>
      </c>
      <c r="I32" s="8" t="s">
        <v>10</v>
      </c>
    </row>
    <row r="33" customFormat="false" ht="32.25" hidden="false" customHeight="true" outlineLevel="0" collapsed="false">
      <c r="A33" s="5" t="n">
        <v>29</v>
      </c>
      <c r="B33" s="5" t="n">
        <v>2012</v>
      </c>
      <c r="C33" s="6" t="s">
        <v>149</v>
      </c>
      <c r="D33" s="6" t="s">
        <v>150</v>
      </c>
      <c r="E33" s="9" t="s">
        <v>151</v>
      </c>
      <c r="F33" s="6" t="s">
        <v>14</v>
      </c>
      <c r="G33" s="6" t="s">
        <v>152</v>
      </c>
      <c r="H33" s="6" t="s">
        <v>153</v>
      </c>
      <c r="I33" s="8" t="s">
        <v>10</v>
      </c>
    </row>
    <row r="34" customFormat="false" ht="21.75" hidden="false" customHeight="true" outlineLevel="0" collapsed="false">
      <c r="A34" s="5" t="n">
        <v>30</v>
      </c>
      <c r="B34" s="5" t="n">
        <v>2006</v>
      </c>
      <c r="C34" s="6" t="s">
        <v>154</v>
      </c>
      <c r="D34" s="6" t="s">
        <v>155</v>
      </c>
      <c r="E34" s="7" t="s">
        <v>13</v>
      </c>
      <c r="F34" s="6" t="s">
        <v>14</v>
      </c>
      <c r="G34" s="6" t="s">
        <v>61</v>
      </c>
      <c r="H34" s="6" t="s">
        <v>156</v>
      </c>
      <c r="I34" s="8" t="s">
        <v>10</v>
      </c>
    </row>
    <row r="35" customFormat="false" ht="32.25" hidden="false" customHeight="true" outlineLevel="0" collapsed="false">
      <c r="A35" s="5" t="n">
        <v>31</v>
      </c>
      <c r="B35" s="5" t="n">
        <v>2017</v>
      </c>
      <c r="C35" s="6" t="s">
        <v>157</v>
      </c>
      <c r="D35" s="6" t="s">
        <v>158</v>
      </c>
      <c r="E35" s="7" t="s">
        <v>123</v>
      </c>
      <c r="F35" s="6" t="s">
        <v>14</v>
      </c>
      <c r="G35" s="6" t="s">
        <v>124</v>
      </c>
      <c r="H35" s="6" t="s">
        <v>159</v>
      </c>
      <c r="I35" s="8" t="s">
        <v>10</v>
      </c>
    </row>
    <row r="36" customFormat="false" ht="21.75" hidden="false" customHeight="true" outlineLevel="0" collapsed="false">
      <c r="A36" s="5" t="n">
        <v>32</v>
      </c>
      <c r="B36" s="5" t="n">
        <v>2017</v>
      </c>
      <c r="C36" s="6" t="s">
        <v>160</v>
      </c>
      <c r="D36" s="6" t="s">
        <v>161</v>
      </c>
      <c r="E36" s="7" t="s">
        <v>123</v>
      </c>
      <c r="F36" s="6" t="s">
        <v>114</v>
      </c>
      <c r="G36" s="6" t="s">
        <v>162</v>
      </c>
      <c r="H36" s="6" t="s">
        <v>163</v>
      </c>
      <c r="I36" s="8" t="s">
        <v>10</v>
      </c>
    </row>
    <row r="37" customFormat="false" ht="32.25" hidden="false" customHeight="true" outlineLevel="0" collapsed="false">
      <c r="A37" s="5" t="n">
        <v>33</v>
      </c>
      <c r="B37" s="5" t="n">
        <v>2017</v>
      </c>
      <c r="C37" s="6" t="s">
        <v>164</v>
      </c>
      <c r="D37" s="6" t="s">
        <v>165</v>
      </c>
      <c r="E37" s="7" t="s">
        <v>55</v>
      </c>
      <c r="F37" s="6" t="s">
        <v>14</v>
      </c>
      <c r="G37" s="6" t="s">
        <v>124</v>
      </c>
      <c r="H37" s="6" t="s">
        <v>166</v>
      </c>
      <c r="I37" s="8" t="s">
        <v>10</v>
      </c>
    </row>
    <row r="38" customFormat="false" ht="21.75" hidden="false" customHeight="true" outlineLevel="0" collapsed="false">
      <c r="A38" s="5" t="n">
        <v>34</v>
      </c>
      <c r="B38" s="5" t="n">
        <v>2011</v>
      </c>
      <c r="C38" s="6" t="s">
        <v>167</v>
      </c>
      <c r="D38" s="6" t="s">
        <v>168</v>
      </c>
      <c r="E38" s="7" t="s">
        <v>65</v>
      </c>
      <c r="F38" s="6" t="s">
        <v>66</v>
      </c>
      <c r="G38" s="6" t="s">
        <v>169</v>
      </c>
      <c r="H38" s="6" t="s">
        <v>170</v>
      </c>
      <c r="I38" s="8" t="s">
        <v>10</v>
      </c>
    </row>
    <row r="39" customFormat="false" ht="21.75" hidden="false" customHeight="true" outlineLevel="0" collapsed="false">
      <c r="A39" s="5" t="n">
        <v>35</v>
      </c>
      <c r="B39" s="5" t="n">
        <v>2020</v>
      </c>
      <c r="C39" s="6" t="s">
        <v>171</v>
      </c>
      <c r="D39" s="6" t="s">
        <v>172</v>
      </c>
      <c r="E39" s="7" t="s">
        <v>118</v>
      </c>
      <c r="F39" s="6" t="s">
        <v>14</v>
      </c>
      <c r="G39" s="6" t="s">
        <v>30</v>
      </c>
      <c r="H39" s="6" t="s">
        <v>173</v>
      </c>
      <c r="I39" s="8" t="s">
        <v>10</v>
      </c>
    </row>
    <row r="40" customFormat="false" ht="21.75" hidden="false" customHeight="true" outlineLevel="0" collapsed="false">
      <c r="A40" s="5" t="n">
        <v>36</v>
      </c>
      <c r="B40" s="5" t="n">
        <v>2018</v>
      </c>
      <c r="C40" s="6" t="s">
        <v>174</v>
      </c>
      <c r="D40" s="6" t="s">
        <v>175</v>
      </c>
      <c r="E40" s="7" t="s">
        <v>104</v>
      </c>
      <c r="F40" s="6" t="s">
        <v>66</v>
      </c>
      <c r="G40" s="6" t="s">
        <v>56</v>
      </c>
      <c r="H40" s="6" t="s">
        <v>176</v>
      </c>
      <c r="I40" s="8" t="s">
        <v>10</v>
      </c>
    </row>
    <row r="41" customFormat="false" ht="21.75" hidden="false" customHeight="true" outlineLevel="0" collapsed="false">
      <c r="A41" s="5" t="n">
        <v>37</v>
      </c>
      <c r="B41" s="5" t="n">
        <v>1977</v>
      </c>
      <c r="C41" s="6" t="s">
        <v>177</v>
      </c>
      <c r="D41" s="6" t="s">
        <v>178</v>
      </c>
      <c r="E41" s="7" t="s">
        <v>179</v>
      </c>
      <c r="F41" s="6" t="s">
        <v>14</v>
      </c>
      <c r="G41" s="6" t="s">
        <v>180</v>
      </c>
      <c r="H41" s="6" t="s">
        <v>181</v>
      </c>
      <c r="I41" s="8" t="s">
        <v>10</v>
      </c>
    </row>
    <row r="42" customFormat="false" ht="32.25" hidden="false" customHeight="true" outlineLevel="0" collapsed="false">
      <c r="A42" s="5" t="n">
        <v>38</v>
      </c>
      <c r="B42" s="5" t="n">
        <v>2022</v>
      </c>
      <c r="C42" s="6" t="s">
        <v>182</v>
      </c>
      <c r="D42" s="6" t="s">
        <v>183</v>
      </c>
      <c r="E42" s="7" t="s">
        <v>184</v>
      </c>
      <c r="F42" s="6" t="s">
        <v>45</v>
      </c>
      <c r="G42" s="6" t="s">
        <v>185</v>
      </c>
      <c r="H42" s="6" t="s">
        <v>186</v>
      </c>
      <c r="I42" s="8" t="s">
        <v>10</v>
      </c>
    </row>
    <row r="43" customFormat="false" ht="21.75" hidden="false" customHeight="true" outlineLevel="0" collapsed="false">
      <c r="A43" s="5" t="n">
        <v>39</v>
      </c>
      <c r="B43" s="5" t="n">
        <v>1985</v>
      </c>
      <c r="C43" s="6" t="s">
        <v>187</v>
      </c>
      <c r="D43" s="6" t="s">
        <v>188</v>
      </c>
      <c r="E43" s="7" t="s">
        <v>104</v>
      </c>
      <c r="F43" s="6" t="s">
        <v>66</v>
      </c>
      <c r="G43" s="6" t="s">
        <v>189</v>
      </c>
      <c r="H43" s="6" t="s">
        <v>190</v>
      </c>
      <c r="I43" s="8" t="s">
        <v>10</v>
      </c>
    </row>
    <row r="44" customFormat="false" ht="21.75" hidden="false" customHeight="true" outlineLevel="0" collapsed="false">
      <c r="A44" s="5" t="n">
        <v>40</v>
      </c>
      <c r="B44" s="5" t="n">
        <v>2019</v>
      </c>
      <c r="C44" s="6" t="s">
        <v>191</v>
      </c>
      <c r="D44" s="6" t="s">
        <v>192</v>
      </c>
      <c r="E44" s="7" t="s">
        <v>123</v>
      </c>
      <c r="F44" s="6" t="s">
        <v>14</v>
      </c>
      <c r="G44" s="6" t="s">
        <v>193</v>
      </c>
      <c r="H44" s="6" t="s">
        <v>194</v>
      </c>
      <c r="I44" s="8" t="s">
        <v>10</v>
      </c>
    </row>
    <row r="45" customFormat="false" ht="21.75" hidden="false" customHeight="true" outlineLevel="0" collapsed="false">
      <c r="A45" s="5" t="n">
        <v>41</v>
      </c>
      <c r="B45" s="5" t="n">
        <v>2017</v>
      </c>
      <c r="C45" s="6" t="s">
        <v>195</v>
      </c>
      <c r="D45" s="6" t="s">
        <v>196</v>
      </c>
      <c r="E45" s="9" t="s">
        <v>151</v>
      </c>
      <c r="F45" s="6" t="s">
        <v>14</v>
      </c>
      <c r="G45" s="6" t="s">
        <v>197</v>
      </c>
      <c r="H45" s="6" t="s">
        <v>198</v>
      </c>
      <c r="I45" s="8" t="s">
        <v>10</v>
      </c>
    </row>
    <row r="46" customFormat="false" ht="32.25" hidden="false" customHeight="true" outlineLevel="0" collapsed="false">
      <c r="A46" s="5" t="n">
        <v>42</v>
      </c>
      <c r="B46" s="5" t="n">
        <v>2022</v>
      </c>
      <c r="C46" s="6" t="s">
        <v>199</v>
      </c>
      <c r="D46" s="6" t="s">
        <v>200</v>
      </c>
      <c r="E46" s="7" t="s">
        <v>123</v>
      </c>
      <c r="F46" s="6" t="s">
        <v>45</v>
      </c>
      <c r="G46" s="6" t="s">
        <v>201</v>
      </c>
      <c r="H46" s="6" t="s">
        <v>202</v>
      </c>
      <c r="I46" s="8" t="s">
        <v>10</v>
      </c>
    </row>
    <row r="47" customFormat="false" ht="21.75" hidden="false" customHeight="true" outlineLevel="0" collapsed="false">
      <c r="A47" s="5" t="n">
        <v>43</v>
      </c>
      <c r="B47" s="5" t="n">
        <v>2019</v>
      </c>
      <c r="C47" s="6" t="s">
        <v>203</v>
      </c>
      <c r="D47" s="6" t="s">
        <v>204</v>
      </c>
      <c r="E47" s="9" t="s">
        <v>205</v>
      </c>
      <c r="F47" s="6" t="s">
        <v>206</v>
      </c>
      <c r="G47" s="6" t="s">
        <v>207</v>
      </c>
      <c r="H47" s="6" t="s">
        <v>208</v>
      </c>
      <c r="I47" s="8" t="s">
        <v>10</v>
      </c>
    </row>
    <row r="48" customFormat="false" ht="32.25" hidden="false" customHeight="true" outlineLevel="0" collapsed="false">
      <c r="A48" s="5" t="n">
        <v>44</v>
      </c>
      <c r="B48" s="5" t="n">
        <v>2021</v>
      </c>
      <c r="C48" s="6" t="s">
        <v>209</v>
      </c>
      <c r="D48" s="6" t="s">
        <v>210</v>
      </c>
      <c r="E48" s="7" t="s">
        <v>123</v>
      </c>
      <c r="F48" s="6" t="s">
        <v>45</v>
      </c>
      <c r="G48" s="6" t="s">
        <v>25</v>
      </c>
      <c r="H48" s="6" t="s">
        <v>211</v>
      </c>
      <c r="I48" s="8" t="s">
        <v>10</v>
      </c>
    </row>
    <row r="49" customFormat="false" ht="21.75" hidden="false" customHeight="true" outlineLevel="0" collapsed="false">
      <c r="A49" s="5" t="n">
        <v>45</v>
      </c>
      <c r="B49" s="5" t="n">
        <v>1998</v>
      </c>
      <c r="C49" s="6" t="s">
        <v>212</v>
      </c>
      <c r="D49" s="6" t="s">
        <v>213</v>
      </c>
      <c r="E49" s="7" t="s">
        <v>60</v>
      </c>
      <c r="F49" s="6" t="s">
        <v>14</v>
      </c>
      <c r="G49" s="6" t="s">
        <v>152</v>
      </c>
      <c r="H49" s="6" t="s">
        <v>214</v>
      </c>
      <c r="I49" s="8" t="s">
        <v>10</v>
      </c>
    </row>
    <row r="50" customFormat="false" ht="21.75" hidden="false" customHeight="true" outlineLevel="0" collapsed="false">
      <c r="A50" s="5" t="n">
        <v>46</v>
      </c>
      <c r="B50" s="5" t="n">
        <v>2020</v>
      </c>
      <c r="C50" s="6" t="s">
        <v>215</v>
      </c>
      <c r="D50" s="6" t="s">
        <v>216</v>
      </c>
      <c r="E50" s="7" t="s">
        <v>123</v>
      </c>
      <c r="F50" s="6" t="s">
        <v>14</v>
      </c>
      <c r="G50" s="6" t="s">
        <v>217</v>
      </c>
      <c r="H50" s="6" t="s">
        <v>218</v>
      </c>
      <c r="I50" s="8" t="s">
        <v>10</v>
      </c>
    </row>
    <row r="51" customFormat="false" ht="42.75" hidden="false" customHeight="true" outlineLevel="0" collapsed="false">
      <c r="A51" s="5" t="n">
        <v>47</v>
      </c>
      <c r="B51" s="5" t="n">
        <v>2021</v>
      </c>
      <c r="C51" s="6" t="s">
        <v>219</v>
      </c>
      <c r="D51" s="6" t="s">
        <v>220</v>
      </c>
      <c r="E51" s="9" t="s">
        <v>38</v>
      </c>
      <c r="F51" s="6" t="s">
        <v>39</v>
      </c>
      <c r="G51" s="6" t="s">
        <v>221</v>
      </c>
      <c r="H51" s="6" t="s">
        <v>222</v>
      </c>
      <c r="I51" s="8" t="s">
        <v>10</v>
      </c>
    </row>
    <row r="52" customFormat="false" ht="42.75" hidden="false" customHeight="true" outlineLevel="0" collapsed="false">
      <c r="A52" s="5" t="n">
        <v>48</v>
      </c>
      <c r="B52" s="5" t="n">
        <v>2020</v>
      </c>
      <c r="C52" s="6" t="s">
        <v>223</v>
      </c>
      <c r="D52" s="6" t="s">
        <v>224</v>
      </c>
      <c r="E52" s="9" t="s">
        <v>38</v>
      </c>
      <c r="F52" s="6" t="s">
        <v>39</v>
      </c>
      <c r="G52" s="6" t="s">
        <v>225</v>
      </c>
      <c r="H52" s="6" t="s">
        <v>226</v>
      </c>
      <c r="I52" s="8" t="s">
        <v>10</v>
      </c>
    </row>
    <row r="53" customFormat="false" ht="21.75" hidden="false" customHeight="true" outlineLevel="0" collapsed="false">
      <c r="A53" s="5" t="n">
        <v>49</v>
      </c>
      <c r="B53" s="5" t="n">
        <v>2010</v>
      </c>
      <c r="C53" s="6" t="s">
        <v>227</v>
      </c>
      <c r="D53" s="6" t="s">
        <v>228</v>
      </c>
      <c r="E53" s="7" t="s">
        <v>13</v>
      </c>
      <c r="F53" s="6" t="s">
        <v>14</v>
      </c>
      <c r="G53" s="6" t="s">
        <v>229</v>
      </c>
      <c r="H53" s="6" t="s">
        <v>230</v>
      </c>
      <c r="I53" s="8" t="s">
        <v>10</v>
      </c>
    </row>
    <row r="54" customFormat="false" ht="21.75" hidden="false" customHeight="true" outlineLevel="0" collapsed="false">
      <c r="A54" s="5" t="n">
        <v>50</v>
      </c>
      <c r="B54" s="5" t="n">
        <v>1997</v>
      </c>
      <c r="C54" s="6" t="s">
        <v>231</v>
      </c>
      <c r="D54" s="6" t="s">
        <v>232</v>
      </c>
      <c r="E54" s="7" t="s">
        <v>13</v>
      </c>
      <c r="F54" s="6" t="s">
        <v>14</v>
      </c>
      <c r="G54" s="6" t="s">
        <v>152</v>
      </c>
      <c r="H54" s="6" t="s">
        <v>233</v>
      </c>
      <c r="I54" s="8" t="s">
        <v>10</v>
      </c>
    </row>
    <row r="55" customFormat="false" ht="32.25" hidden="false" customHeight="true" outlineLevel="0" collapsed="false">
      <c r="A55" s="5" t="n">
        <v>51</v>
      </c>
      <c r="B55" s="5" t="n">
        <v>2009</v>
      </c>
      <c r="C55" s="6" t="s">
        <v>234</v>
      </c>
      <c r="D55" s="6" t="s">
        <v>235</v>
      </c>
      <c r="E55" s="7" t="s">
        <v>13</v>
      </c>
      <c r="F55" s="6" t="s">
        <v>14</v>
      </c>
      <c r="G55" s="6" t="s">
        <v>236</v>
      </c>
      <c r="H55" s="6" t="s">
        <v>237</v>
      </c>
      <c r="I55" s="8" t="s">
        <v>10</v>
      </c>
    </row>
    <row r="56" customFormat="false" ht="21.75" hidden="false" customHeight="true" outlineLevel="0" collapsed="false">
      <c r="A56" s="5" t="n">
        <v>52</v>
      </c>
      <c r="B56" s="5" t="n">
        <v>2002</v>
      </c>
      <c r="C56" s="6" t="s">
        <v>238</v>
      </c>
      <c r="D56" s="6" t="s">
        <v>239</v>
      </c>
      <c r="E56" s="7" t="s">
        <v>240</v>
      </c>
      <c r="F56" s="6" t="s">
        <v>14</v>
      </c>
      <c r="G56" s="6" t="s">
        <v>162</v>
      </c>
      <c r="H56" s="6" t="s">
        <v>241</v>
      </c>
      <c r="I56" s="8" t="s">
        <v>10</v>
      </c>
    </row>
    <row r="57" customFormat="false" ht="32.25" hidden="false" customHeight="true" outlineLevel="0" collapsed="false">
      <c r="A57" s="5" t="n">
        <v>53</v>
      </c>
      <c r="B57" s="5" t="n">
        <v>2003</v>
      </c>
      <c r="C57" s="6" t="s">
        <v>242</v>
      </c>
      <c r="D57" s="6" t="s">
        <v>243</v>
      </c>
      <c r="E57" s="7" t="s">
        <v>244</v>
      </c>
      <c r="F57" s="6" t="s">
        <v>14</v>
      </c>
      <c r="G57" s="6" t="s">
        <v>245</v>
      </c>
      <c r="H57" s="6" t="s">
        <v>246</v>
      </c>
      <c r="I57" s="8" t="s">
        <v>10</v>
      </c>
    </row>
    <row r="58" customFormat="false" ht="32.25" hidden="false" customHeight="true" outlineLevel="0" collapsed="false">
      <c r="A58" s="5" t="n">
        <v>54</v>
      </c>
      <c r="B58" s="5" t="n">
        <v>2025</v>
      </c>
      <c r="C58" s="6" t="s">
        <v>247</v>
      </c>
      <c r="D58" s="6" t="s">
        <v>248</v>
      </c>
      <c r="E58" s="9" t="s">
        <v>249</v>
      </c>
      <c r="F58" s="6" t="s">
        <v>39</v>
      </c>
      <c r="G58" s="6" t="s">
        <v>250</v>
      </c>
      <c r="H58" s="6" t="s">
        <v>251</v>
      </c>
      <c r="I58" s="8" t="s">
        <v>10</v>
      </c>
    </row>
    <row r="59" customFormat="false" ht="21.75" hidden="false" customHeight="true" outlineLevel="0" collapsed="false">
      <c r="A59" s="5" t="n">
        <v>55</v>
      </c>
      <c r="B59" s="5" t="n">
        <v>1998</v>
      </c>
      <c r="C59" s="6" t="s">
        <v>252</v>
      </c>
      <c r="D59" s="6" t="s">
        <v>253</v>
      </c>
      <c r="E59" s="7" t="s">
        <v>240</v>
      </c>
      <c r="F59" s="6" t="s">
        <v>14</v>
      </c>
      <c r="G59" s="6" t="s">
        <v>162</v>
      </c>
      <c r="H59" s="6" t="s">
        <v>254</v>
      </c>
      <c r="I59" s="8" t="s">
        <v>10</v>
      </c>
    </row>
    <row r="60" customFormat="false" ht="21.75" hidden="false" customHeight="true" outlineLevel="0" collapsed="false">
      <c r="A60" s="5" t="n">
        <v>56</v>
      </c>
      <c r="B60" s="5" t="n">
        <v>2023</v>
      </c>
      <c r="C60" s="6" t="s">
        <v>255</v>
      </c>
      <c r="D60" s="6" t="s">
        <v>256</v>
      </c>
      <c r="E60" s="9" t="s">
        <v>249</v>
      </c>
      <c r="F60" s="6" t="s">
        <v>39</v>
      </c>
      <c r="G60" s="6" t="s">
        <v>257</v>
      </c>
      <c r="H60" s="6" t="s">
        <v>258</v>
      </c>
      <c r="I60" s="8" t="s">
        <v>10</v>
      </c>
    </row>
    <row r="61" customFormat="false" ht="21.75" hidden="false" customHeight="true" outlineLevel="0" collapsed="false">
      <c r="A61" s="5" t="n">
        <v>57</v>
      </c>
      <c r="B61" s="5" t="n">
        <v>2012</v>
      </c>
      <c r="C61" s="6" t="s">
        <v>259</v>
      </c>
      <c r="D61" s="6" t="s">
        <v>260</v>
      </c>
      <c r="E61" s="7" t="s">
        <v>60</v>
      </c>
      <c r="F61" s="6" t="s">
        <v>14</v>
      </c>
      <c r="G61" s="6" t="s">
        <v>25</v>
      </c>
      <c r="H61" s="6" t="s">
        <v>261</v>
      </c>
      <c r="I61" s="8" t="s">
        <v>10</v>
      </c>
    </row>
    <row r="62" customFormat="false" ht="32.25" hidden="false" customHeight="true" outlineLevel="0" collapsed="false">
      <c r="A62" s="5" t="n">
        <v>58</v>
      </c>
      <c r="B62" s="5" t="n">
        <v>2021</v>
      </c>
      <c r="C62" s="6" t="s">
        <v>262</v>
      </c>
      <c r="D62" s="6" t="s">
        <v>263</v>
      </c>
      <c r="E62" s="9" t="s">
        <v>264</v>
      </c>
      <c r="F62" s="6" t="s">
        <v>265</v>
      </c>
      <c r="G62" s="6" t="s">
        <v>162</v>
      </c>
      <c r="H62" s="6" t="s">
        <v>266</v>
      </c>
      <c r="I62" s="8" t="s">
        <v>10</v>
      </c>
    </row>
    <row r="63" customFormat="false" ht="32.25" hidden="false" customHeight="true" outlineLevel="0" collapsed="false">
      <c r="A63" s="5" t="n">
        <v>59</v>
      </c>
      <c r="B63" s="5" t="n">
        <v>2019</v>
      </c>
      <c r="C63" s="6" t="s">
        <v>267</v>
      </c>
      <c r="D63" s="6" t="s">
        <v>268</v>
      </c>
      <c r="E63" s="7" t="s">
        <v>44</v>
      </c>
      <c r="F63" s="6" t="s">
        <v>14</v>
      </c>
      <c r="G63" s="6" t="s">
        <v>269</v>
      </c>
      <c r="H63" s="6" t="s">
        <v>270</v>
      </c>
      <c r="I63" s="8" t="s">
        <v>10</v>
      </c>
    </row>
    <row r="64" customFormat="false" ht="21.75" hidden="false" customHeight="true" outlineLevel="0" collapsed="false">
      <c r="A64" s="5" t="n">
        <v>60</v>
      </c>
      <c r="B64" s="5" t="n">
        <v>2019</v>
      </c>
      <c r="C64" s="6" t="s">
        <v>271</v>
      </c>
      <c r="D64" s="6" t="s">
        <v>272</v>
      </c>
      <c r="E64" s="7" t="s">
        <v>104</v>
      </c>
      <c r="F64" s="6" t="s">
        <v>66</v>
      </c>
      <c r="G64" s="6" t="s">
        <v>51</v>
      </c>
      <c r="H64" s="6" t="s">
        <v>273</v>
      </c>
      <c r="I64" s="8" t="s">
        <v>10</v>
      </c>
    </row>
    <row r="65" customFormat="false" ht="32.25" hidden="false" customHeight="true" outlineLevel="0" collapsed="false">
      <c r="A65" s="5" t="n">
        <v>61</v>
      </c>
      <c r="B65" s="5" t="n">
        <v>2013</v>
      </c>
      <c r="C65" s="6" t="s">
        <v>274</v>
      </c>
      <c r="D65" s="6" t="s">
        <v>275</v>
      </c>
      <c r="E65" s="9" t="s">
        <v>38</v>
      </c>
      <c r="F65" s="6" t="s">
        <v>39</v>
      </c>
      <c r="G65" s="6" t="s">
        <v>276</v>
      </c>
      <c r="H65" s="6" t="s">
        <v>277</v>
      </c>
      <c r="I65" s="8" t="s">
        <v>10</v>
      </c>
    </row>
    <row r="66" customFormat="false" ht="21.75" hidden="false" customHeight="true" outlineLevel="0" collapsed="false">
      <c r="A66" s="5" t="n">
        <v>62</v>
      </c>
      <c r="B66" s="5" t="n">
        <v>2017</v>
      </c>
      <c r="C66" s="6" t="s">
        <v>278</v>
      </c>
      <c r="D66" s="6" t="s">
        <v>279</v>
      </c>
      <c r="E66" s="7" t="s">
        <v>146</v>
      </c>
      <c r="F66" s="6" t="s">
        <v>14</v>
      </c>
      <c r="G66" s="6" t="s">
        <v>124</v>
      </c>
      <c r="H66" s="6" t="s">
        <v>280</v>
      </c>
      <c r="I66" s="8" t="s">
        <v>10</v>
      </c>
    </row>
    <row r="67" customFormat="false" ht="21.75" hidden="false" customHeight="true" outlineLevel="0" collapsed="false">
      <c r="A67" s="5" t="n">
        <v>63</v>
      </c>
      <c r="B67" s="5" t="n">
        <v>2016</v>
      </c>
      <c r="C67" s="6" t="s">
        <v>281</v>
      </c>
      <c r="D67" s="6" t="s">
        <v>282</v>
      </c>
      <c r="E67" s="7" t="s">
        <v>146</v>
      </c>
      <c r="F67" s="6" t="s">
        <v>14</v>
      </c>
      <c r="G67" s="6" t="s">
        <v>30</v>
      </c>
      <c r="H67" s="6" t="s">
        <v>283</v>
      </c>
      <c r="I67" s="8" t="s">
        <v>10</v>
      </c>
    </row>
    <row r="68" customFormat="false" ht="21.75" hidden="false" customHeight="true" outlineLevel="0" collapsed="false">
      <c r="A68" s="5" t="n">
        <v>64</v>
      </c>
      <c r="B68" s="5" t="n">
        <v>2019</v>
      </c>
      <c r="C68" s="6" t="s">
        <v>284</v>
      </c>
      <c r="D68" s="6" t="s">
        <v>285</v>
      </c>
      <c r="E68" s="7" t="s">
        <v>13</v>
      </c>
      <c r="F68" s="6" t="s">
        <v>14</v>
      </c>
      <c r="G68" s="6" t="s">
        <v>30</v>
      </c>
      <c r="H68" s="6" t="s">
        <v>286</v>
      </c>
      <c r="I68" s="8" t="s">
        <v>10</v>
      </c>
    </row>
    <row r="69" customFormat="false" ht="21.75" hidden="false" customHeight="true" outlineLevel="0" collapsed="false">
      <c r="A69" s="5" t="n">
        <v>65</v>
      </c>
      <c r="B69" s="5" t="n">
        <v>1955</v>
      </c>
      <c r="C69" s="6" t="s">
        <v>287</v>
      </c>
      <c r="D69" s="6" t="s">
        <v>288</v>
      </c>
      <c r="E69" s="7" t="s">
        <v>289</v>
      </c>
      <c r="F69" s="6" t="s">
        <v>14</v>
      </c>
      <c r="G69" s="6" t="s">
        <v>290</v>
      </c>
      <c r="H69" s="6" t="s">
        <v>291</v>
      </c>
      <c r="I69" s="8" t="s">
        <v>10</v>
      </c>
    </row>
    <row r="70" customFormat="false" ht="21.75" hidden="false" customHeight="true" outlineLevel="0" collapsed="false">
      <c r="A70" s="5" t="n">
        <v>66</v>
      </c>
      <c r="B70" s="5" t="n">
        <v>1999</v>
      </c>
      <c r="C70" s="6" t="s">
        <v>292</v>
      </c>
      <c r="D70" s="6" t="s">
        <v>293</v>
      </c>
      <c r="E70" s="7" t="s">
        <v>123</v>
      </c>
      <c r="F70" s="6" t="s">
        <v>14</v>
      </c>
      <c r="G70" s="6" t="s">
        <v>152</v>
      </c>
      <c r="H70" s="6" t="s">
        <v>294</v>
      </c>
      <c r="I70" s="8" t="s">
        <v>10</v>
      </c>
    </row>
    <row r="71" customFormat="false" ht="21.75" hidden="false" customHeight="true" outlineLevel="0" collapsed="false">
      <c r="A71" s="5" t="n">
        <v>67</v>
      </c>
      <c r="B71" s="5" t="n">
        <v>1997</v>
      </c>
      <c r="C71" s="6" t="s">
        <v>295</v>
      </c>
      <c r="D71" s="6" t="s">
        <v>296</v>
      </c>
      <c r="E71" s="7" t="s">
        <v>240</v>
      </c>
      <c r="F71" s="6" t="s">
        <v>14</v>
      </c>
      <c r="G71" s="6" t="s">
        <v>162</v>
      </c>
      <c r="H71" s="6" t="s">
        <v>297</v>
      </c>
      <c r="I71" s="8" t="s">
        <v>10</v>
      </c>
    </row>
    <row r="72" customFormat="false" ht="21.75" hidden="false" customHeight="true" outlineLevel="0" collapsed="false">
      <c r="A72" s="5" t="n">
        <v>68</v>
      </c>
      <c r="B72" s="5" t="n">
        <v>2010</v>
      </c>
      <c r="C72" s="6" t="s">
        <v>298</v>
      </c>
      <c r="D72" s="6" t="s">
        <v>299</v>
      </c>
      <c r="E72" s="7" t="s">
        <v>104</v>
      </c>
      <c r="F72" s="6" t="s">
        <v>14</v>
      </c>
      <c r="G72" s="6" t="s">
        <v>51</v>
      </c>
      <c r="H72" s="6" t="s">
        <v>300</v>
      </c>
      <c r="I72" s="8" t="s">
        <v>10</v>
      </c>
    </row>
    <row r="73" customFormat="false" ht="21.75" hidden="false" customHeight="true" outlineLevel="0" collapsed="false">
      <c r="A73" s="5" t="n">
        <v>69</v>
      </c>
      <c r="B73" s="5" t="n">
        <v>2017</v>
      </c>
      <c r="C73" s="6" t="s">
        <v>301</v>
      </c>
      <c r="D73" s="6" t="s">
        <v>302</v>
      </c>
      <c r="E73" s="7" t="s">
        <v>123</v>
      </c>
      <c r="F73" s="6" t="s">
        <v>14</v>
      </c>
      <c r="G73" s="6" t="s">
        <v>303</v>
      </c>
      <c r="H73" s="6" t="s">
        <v>304</v>
      </c>
      <c r="I73" s="8" t="s">
        <v>10</v>
      </c>
    </row>
    <row r="74" customFormat="false" ht="21.75" hidden="false" customHeight="true" outlineLevel="0" collapsed="false">
      <c r="A74" s="5" t="n">
        <v>70</v>
      </c>
      <c r="B74" s="5" t="n">
        <v>2001</v>
      </c>
      <c r="C74" s="6" t="s">
        <v>305</v>
      </c>
      <c r="D74" s="6" t="s">
        <v>306</v>
      </c>
      <c r="E74" s="7" t="s">
        <v>307</v>
      </c>
      <c r="F74" s="6" t="s">
        <v>66</v>
      </c>
      <c r="G74" s="6" t="s">
        <v>152</v>
      </c>
      <c r="H74" s="6" t="s">
        <v>308</v>
      </c>
      <c r="I74" s="8" t="s">
        <v>10</v>
      </c>
    </row>
    <row r="75" customFormat="false" ht="21.75" hidden="false" customHeight="true" outlineLevel="0" collapsed="false">
      <c r="A75" s="5" t="n">
        <v>71</v>
      </c>
      <c r="B75" s="5" t="n">
        <v>2020</v>
      </c>
      <c r="C75" s="6" t="s">
        <v>309</v>
      </c>
      <c r="D75" s="6" t="s">
        <v>310</v>
      </c>
      <c r="E75" s="9" t="s">
        <v>311</v>
      </c>
      <c r="F75" s="6" t="s">
        <v>312</v>
      </c>
      <c r="G75" s="6" t="s">
        <v>313</v>
      </c>
      <c r="H75" s="6" t="s">
        <v>314</v>
      </c>
      <c r="I75" s="8" t="s">
        <v>10</v>
      </c>
    </row>
    <row r="76" customFormat="false" ht="32.25" hidden="false" customHeight="true" outlineLevel="0" collapsed="false">
      <c r="A76" s="5" t="n">
        <v>72</v>
      </c>
      <c r="B76" s="5" t="n">
        <v>2023</v>
      </c>
      <c r="C76" s="6" t="s">
        <v>315</v>
      </c>
      <c r="D76" s="6" t="s">
        <v>316</v>
      </c>
      <c r="E76" s="9" t="s">
        <v>317</v>
      </c>
      <c r="F76" s="6" t="s">
        <v>114</v>
      </c>
      <c r="G76" s="6" t="s">
        <v>72</v>
      </c>
      <c r="H76" s="6" t="s">
        <v>318</v>
      </c>
      <c r="I76" s="8" t="s">
        <v>10</v>
      </c>
    </row>
    <row r="77" customFormat="false" ht="32.25" hidden="false" customHeight="true" outlineLevel="0" collapsed="false">
      <c r="A77" s="5" t="n">
        <v>73</v>
      </c>
      <c r="B77" s="5" t="n">
        <v>2017</v>
      </c>
      <c r="C77" s="6" t="s">
        <v>319</v>
      </c>
      <c r="D77" s="6" t="s">
        <v>320</v>
      </c>
      <c r="E77" s="7" t="s">
        <v>123</v>
      </c>
      <c r="F77" s="6" t="s">
        <v>14</v>
      </c>
      <c r="G77" s="6" t="s">
        <v>124</v>
      </c>
      <c r="H77" s="6" t="s">
        <v>321</v>
      </c>
      <c r="I77" s="8" t="s">
        <v>10</v>
      </c>
    </row>
    <row r="78" customFormat="false" ht="21.75" hidden="false" customHeight="true" outlineLevel="0" collapsed="false">
      <c r="A78" s="5" t="n">
        <v>74</v>
      </c>
      <c r="B78" s="5" t="n">
        <v>1996</v>
      </c>
      <c r="C78" s="6" t="s">
        <v>322</v>
      </c>
      <c r="D78" s="6" t="s">
        <v>323</v>
      </c>
      <c r="E78" s="7" t="s">
        <v>60</v>
      </c>
      <c r="F78" s="6" t="s">
        <v>14</v>
      </c>
      <c r="G78" s="6" t="s">
        <v>324</v>
      </c>
      <c r="H78" s="6" t="s">
        <v>325</v>
      </c>
      <c r="I78" s="8" t="s">
        <v>10</v>
      </c>
    </row>
    <row r="79" customFormat="false" ht="21.75" hidden="false" customHeight="true" outlineLevel="0" collapsed="false">
      <c r="A79" s="5" t="n">
        <v>75</v>
      </c>
      <c r="B79" s="5" t="n">
        <v>2013</v>
      </c>
      <c r="C79" s="6" t="s">
        <v>326</v>
      </c>
      <c r="D79" s="6" t="s">
        <v>327</v>
      </c>
      <c r="E79" s="7" t="s">
        <v>328</v>
      </c>
      <c r="F79" s="6" t="s">
        <v>14</v>
      </c>
      <c r="G79" s="6" t="s">
        <v>152</v>
      </c>
      <c r="H79" s="6" t="s">
        <v>329</v>
      </c>
      <c r="I79" s="8" t="s">
        <v>10</v>
      </c>
    </row>
    <row r="80" customFormat="false" ht="21.75" hidden="false" customHeight="true" outlineLevel="0" collapsed="false">
      <c r="A80" s="5" t="n">
        <v>76</v>
      </c>
      <c r="B80" s="5" t="n">
        <v>1993</v>
      </c>
      <c r="C80" s="6" t="s">
        <v>330</v>
      </c>
      <c r="D80" s="6" t="s">
        <v>331</v>
      </c>
      <c r="E80" s="7" t="s">
        <v>118</v>
      </c>
      <c r="F80" s="6" t="s">
        <v>14</v>
      </c>
      <c r="G80" s="6" t="s">
        <v>25</v>
      </c>
      <c r="H80" s="6" t="s">
        <v>332</v>
      </c>
      <c r="I80" s="8" t="s">
        <v>10</v>
      </c>
    </row>
    <row r="81" customFormat="false" ht="32.25" hidden="false" customHeight="true" outlineLevel="0" collapsed="false">
      <c r="A81" s="5" t="n">
        <v>77</v>
      </c>
      <c r="B81" s="5" t="n">
        <v>2012</v>
      </c>
      <c r="C81" s="6" t="s">
        <v>333</v>
      </c>
      <c r="D81" s="6" t="s">
        <v>334</v>
      </c>
      <c r="E81" s="7" t="s">
        <v>123</v>
      </c>
      <c r="F81" s="6" t="s">
        <v>14</v>
      </c>
      <c r="G81" s="6" t="s">
        <v>236</v>
      </c>
      <c r="H81" s="6" t="s">
        <v>335</v>
      </c>
      <c r="I81" s="8" t="s">
        <v>10</v>
      </c>
    </row>
    <row r="82" customFormat="false" ht="21.75" hidden="false" customHeight="true" outlineLevel="0" collapsed="false">
      <c r="A82" s="5" t="n">
        <v>78</v>
      </c>
      <c r="B82" s="5" t="n">
        <v>2018</v>
      </c>
      <c r="C82" s="6" t="s">
        <v>336</v>
      </c>
      <c r="D82" s="6" t="s">
        <v>337</v>
      </c>
      <c r="E82" s="7" t="s">
        <v>104</v>
      </c>
      <c r="F82" s="6" t="s">
        <v>66</v>
      </c>
      <c r="G82" s="6" t="s">
        <v>119</v>
      </c>
      <c r="H82" s="6" t="s">
        <v>338</v>
      </c>
      <c r="I82" s="8" t="s">
        <v>10</v>
      </c>
    </row>
    <row r="83" customFormat="false" ht="42.75" hidden="false" customHeight="true" outlineLevel="0" collapsed="false">
      <c r="A83" s="5" t="n">
        <v>79</v>
      </c>
      <c r="B83" s="5" t="n">
        <v>2021</v>
      </c>
      <c r="C83" s="6" t="s">
        <v>339</v>
      </c>
      <c r="D83" s="6" t="s">
        <v>340</v>
      </c>
      <c r="E83" s="9" t="s">
        <v>341</v>
      </c>
      <c r="F83" s="6" t="s">
        <v>39</v>
      </c>
      <c r="G83" s="6" t="s">
        <v>342</v>
      </c>
      <c r="H83" s="6" t="s">
        <v>343</v>
      </c>
      <c r="I83" s="8" t="s">
        <v>10</v>
      </c>
    </row>
  </sheetData>
  <autoFilter ref="A4:I83"/>
  <mergeCells count="2">
    <mergeCell ref="A1:I1"/>
    <mergeCell ref="A2:I2"/>
  </mergeCells>
  <hyperlinks>
    <hyperlink ref="I5" r:id="rId1" display="Open link"/>
    <hyperlink ref="I6" r:id="rId2" display="Open link"/>
    <hyperlink ref="I7" r:id="rId3" display="Open link"/>
    <hyperlink ref="I8" r:id="rId4" display="Open link"/>
    <hyperlink ref="I9" r:id="rId5" display="Open link"/>
    <hyperlink ref="I10" r:id="rId6" display="Open link"/>
    <hyperlink ref="I11" r:id="rId7" display="Open link"/>
    <hyperlink ref="I12" r:id="rId8" display="Open link"/>
    <hyperlink ref="I13" r:id="rId9" display="Open link"/>
    <hyperlink ref="I14" r:id="rId10" display="Open link"/>
    <hyperlink ref="I15" r:id="rId11" display="Open link"/>
    <hyperlink ref="I16" r:id="rId12" display="Open link"/>
    <hyperlink ref="I17" r:id="rId13" display="Open link"/>
    <hyperlink ref="I18" r:id="rId14" display="Open link"/>
    <hyperlink ref="I19" r:id="rId15" display="Open link"/>
    <hyperlink ref="I20" r:id="rId16" display="Open link"/>
    <hyperlink ref="I21" r:id="rId17" display="Open link"/>
    <hyperlink ref="I22" r:id="rId18" display="Open link"/>
    <hyperlink ref="I23" r:id="rId19" display="Open link"/>
    <hyperlink ref="I24" r:id="rId20" display="Open link"/>
    <hyperlink ref="I25" r:id="rId21" display="Open link"/>
    <hyperlink ref="I26" r:id="rId22" display="Open link"/>
    <hyperlink ref="I27" r:id="rId23" display="Open link"/>
    <hyperlink ref="I28" r:id="rId24" display="Open link"/>
    <hyperlink ref="I29" r:id="rId25" display="Open link"/>
    <hyperlink ref="I30" r:id="rId26" display="Open link"/>
    <hyperlink ref="I31" r:id="rId27" display="Open link"/>
    <hyperlink ref="I32" r:id="rId28" display="Open link"/>
    <hyperlink ref="I33" r:id="rId29" display="Open link"/>
    <hyperlink ref="I34" r:id="rId30" display="Open link"/>
    <hyperlink ref="I35" r:id="rId31" display="Open link"/>
    <hyperlink ref="I36" r:id="rId32" display="Open link"/>
    <hyperlink ref="I37" r:id="rId33" display="Open link"/>
    <hyperlink ref="I38" r:id="rId34" display="Open link"/>
    <hyperlink ref="I39" r:id="rId35" display="Open link"/>
    <hyperlink ref="I40" r:id="rId36" display="Open link"/>
    <hyperlink ref="I41" r:id="rId37" display="Open link"/>
    <hyperlink ref="I42" r:id="rId38" display="Open link"/>
    <hyperlink ref="I43" r:id="rId39" display="Open link"/>
    <hyperlink ref="I44" r:id="rId40" display="Open link"/>
    <hyperlink ref="I45" r:id="rId41" display="Open link"/>
    <hyperlink ref="I46" r:id="rId42" display="Open link"/>
    <hyperlink ref="I47" r:id="rId43" display="Open link"/>
    <hyperlink ref="I48" r:id="rId44" display="Open link"/>
    <hyperlink ref="I49" r:id="rId45" display="Open link"/>
    <hyperlink ref="I50" r:id="rId46" display="Open link"/>
    <hyperlink ref="I51" r:id="rId47" display="Open link"/>
    <hyperlink ref="I52" r:id="rId48" display="Open link"/>
    <hyperlink ref="I53" r:id="rId49" display="Open link"/>
    <hyperlink ref="I54" r:id="rId50" display="Open link"/>
    <hyperlink ref="I55" r:id="rId51" display="Open link"/>
    <hyperlink ref="I56" r:id="rId52" display="Open link"/>
    <hyperlink ref="I57" r:id="rId53" display="Open link"/>
    <hyperlink ref="I58" r:id="rId54" display="Open link"/>
    <hyperlink ref="I59" r:id="rId55" display="Open link"/>
    <hyperlink ref="I60" r:id="rId56" display="Open link"/>
    <hyperlink ref="I61" r:id="rId57" display="Open link"/>
    <hyperlink ref="I62" r:id="rId58" display="Open link"/>
    <hyperlink ref="I63" r:id="rId59" display="Open link"/>
    <hyperlink ref="I64" r:id="rId60" display="Open link"/>
    <hyperlink ref="I65" r:id="rId61" display="Open link"/>
    <hyperlink ref="I66" r:id="rId62" display="Open link"/>
    <hyperlink ref="I67" r:id="rId63" display="Open link"/>
    <hyperlink ref="I68" r:id="rId64" display="Open link"/>
    <hyperlink ref="I69" r:id="rId65" display="Open link"/>
    <hyperlink ref="I70" r:id="rId66" display="Open link"/>
    <hyperlink ref="I71" r:id="rId67" display="Open link"/>
    <hyperlink ref="I72" r:id="rId68" display="Open link"/>
    <hyperlink ref="I73" r:id="rId69" display="Open link"/>
    <hyperlink ref="I74" r:id="rId70" display="Open link"/>
    <hyperlink ref="I75" r:id="rId71" display="Open link"/>
    <hyperlink ref="I76" r:id="rId72" display="Open link"/>
    <hyperlink ref="I77" r:id="rId73" display="Open link"/>
    <hyperlink ref="I78" r:id="rId74" display="Open link"/>
    <hyperlink ref="I79" r:id="rId75" display="Open link"/>
    <hyperlink ref="I80" r:id="rId76" display="Open link"/>
    <hyperlink ref="I81" r:id="rId77" display="Open link"/>
    <hyperlink ref="I82" r:id="rId78" display="Open link"/>
    <hyperlink ref="I83" r:id="rId79" display="Open link"/>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8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2" min="2" style="1" width="12"/>
  </cols>
  <sheetData>
    <row r="1" customFormat="false" ht="15.75" hidden="false" customHeight="true" outlineLevel="0" collapsed="false">
      <c r="A1" s="10" t="s">
        <v>344</v>
      </c>
    </row>
    <row r="2" customFormat="false" ht="15" hidden="false" customHeight="true" outlineLevel="0" collapsed="false">
      <c r="A2" s="11" t="s">
        <v>345</v>
      </c>
    </row>
    <row r="4" customFormat="false" ht="15" hidden="false" customHeight="true" outlineLevel="0" collapsed="false">
      <c r="A4" s="12" t="s">
        <v>346</v>
      </c>
    </row>
    <row r="5" customFormat="false" ht="15" hidden="false" customHeight="true" outlineLevel="0" collapsed="false">
      <c r="A5" s="13" t="s">
        <v>347</v>
      </c>
      <c r="B5" s="14" t="n">
        <f aca="false">COUNTIF('Reference Register'!$E$5:$E$83,"Open*")</f>
        <v>19</v>
      </c>
    </row>
    <row r="6" customFormat="false" ht="15" hidden="false" customHeight="true" outlineLevel="0" collapsed="false">
      <c r="A6" s="13" t="s">
        <v>348</v>
      </c>
      <c r="B6" s="14" t="n">
        <f aca="false">COUNTIF('Reference Register'!$E$5:$E$83,"NU Library*")</f>
        <v>60</v>
      </c>
    </row>
    <row r="7" customFormat="false" ht="15" hidden="false" customHeight="true" outlineLevel="0" collapsed="false">
      <c r="A7" s="13" t="s">
        <v>349</v>
      </c>
      <c r="B7" s="15" t="n">
        <f aca="false">COUNTA('Reference Register'!$A$5:$A$83)</f>
        <v>79</v>
      </c>
    </row>
    <row r="9" customFormat="false" ht="15" hidden="false" customHeight="true" outlineLevel="0" collapsed="false">
      <c r="A9" s="12" t="s">
        <v>350</v>
      </c>
    </row>
    <row r="10" customFormat="false" ht="15" hidden="false" customHeight="true" outlineLevel="0" collapsed="false">
      <c r="A10" s="13" t="s">
        <v>351</v>
      </c>
      <c r="B10" s="14" t="n">
        <f aca="false">COUNTIF('Reference Register'!$B$5:$B$83,"&gt;=2020")</f>
        <v>20</v>
      </c>
    </row>
    <row r="11" customFormat="false" ht="15" hidden="false" customHeight="true" outlineLevel="0" collapsed="false">
      <c r="A11" s="13" t="s">
        <v>352</v>
      </c>
      <c r="B11" s="14" t="n">
        <f aca="false">COUNTIFS('Reference Register'!$B$5:$B$83,"&gt;=2010",'Reference Register'!$B$5:$B$83,"&lt;=2019")</f>
        <v>33</v>
      </c>
    </row>
    <row r="12" customFormat="false" ht="15" hidden="false" customHeight="true" outlineLevel="0" collapsed="false">
      <c r="A12" s="13" t="s">
        <v>353</v>
      </c>
      <c r="B12" s="14" t="n">
        <f aca="false">COUNTIF('Reference Register'!$B$5:$B$83,"&lt;2010")</f>
        <v>26</v>
      </c>
    </row>
    <row r="13" customFormat="false" ht="15" hidden="false" customHeight="true" outlineLevel="0" collapsed="false">
      <c r="A13" s="13" t="s">
        <v>349</v>
      </c>
      <c r="B13" s="15" t="n">
        <f aca="false">COUNTA('Reference Register'!$B$5:$B$83)</f>
        <v>79</v>
      </c>
    </row>
    <row r="15" customFormat="false" ht="15" hidden="false" customHeight="true" outlineLevel="0" collapsed="false">
      <c r="A15" s="12" t="s">
        <v>354</v>
      </c>
    </row>
    <row r="16" customFormat="false" ht="15" hidden="false" customHeight="true" outlineLevel="0" collapsed="false">
      <c r="A16" s="13" t="s">
        <v>355</v>
      </c>
      <c r="B16" s="15" t="n">
        <f aca="false">COUNTA('Reference Register'!$A$5:$A$83)</f>
        <v>79</v>
      </c>
    </row>
    <row r="17" customFormat="false" ht="15" hidden="false" customHeight="true" outlineLevel="0" collapsed="false">
      <c r="A17" s="13" t="s">
        <v>356</v>
      </c>
      <c r="B17" s="14" t="n">
        <f aca="false">COUNTIF('Reference Register'!$B$5:$B$83,"&gt;=2018")</f>
        <v>31</v>
      </c>
    </row>
    <row r="18" customFormat="false" ht="15" hidden="false" customHeight="true" outlineLevel="0" collapsed="false">
      <c r="A18" s="13" t="s">
        <v>357</v>
      </c>
      <c r="B18" s="14" t="n">
        <f aca="false">COUNTIF('Reference Register'!$F$5:$F$83,"*to be re-confirmed*")+COUNTIF('Reference Register'!$F$5:$F$83,"*check for a later*")</f>
        <v>2</v>
      </c>
    </row>
    <row r="19" customFormat="false" ht="15" hidden="false" customHeight="true" outlineLevel="0" collapsed="false">
      <c r="A19" s="13" t="s">
        <v>358</v>
      </c>
      <c r="B19" s="14" t="n">
        <f aca="false">COUNTIF('Reference Register'!$G$5:$G$83,"*case C*")</f>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105"/>
  </cols>
  <sheetData>
    <row r="1" customFormat="false" ht="15.75" hidden="false" customHeight="true" outlineLevel="0" collapsed="false">
      <c r="A1" s="10" t="s">
        <v>359</v>
      </c>
    </row>
    <row r="3" customFormat="false" ht="63.75" hidden="false" customHeight="true" outlineLevel="0" collapsed="false">
      <c r="A3" s="16" t="s">
        <v>360</v>
      </c>
      <c r="B3" s="17" t="s">
        <v>361</v>
      </c>
    </row>
    <row r="4" customFormat="false" ht="63.75" hidden="false" customHeight="true" outlineLevel="0" collapsed="false">
      <c r="A4" s="16" t="s">
        <v>362</v>
      </c>
      <c r="B4" s="17" t="s">
        <v>363</v>
      </c>
    </row>
    <row r="5" customFormat="false" ht="63.75" hidden="false" customHeight="true" outlineLevel="0" collapsed="false">
      <c r="A5" s="16" t="s">
        <v>364</v>
      </c>
      <c r="B5" s="17" t="s">
        <v>365</v>
      </c>
    </row>
    <row r="6" customFormat="false" ht="63.75" hidden="false" customHeight="true" outlineLevel="0" collapsed="false">
      <c r="A6" s="16" t="s">
        <v>366</v>
      </c>
      <c r="B6" s="17" t="s">
        <v>367</v>
      </c>
    </row>
    <row r="7" customFormat="false" ht="63.75" hidden="false" customHeight="true" outlineLevel="0" collapsed="false">
      <c r="A7" s="16" t="s">
        <v>368</v>
      </c>
      <c r="B7" s="17" t="s">
        <v>369</v>
      </c>
    </row>
    <row r="8" customFormat="false" ht="63.75" hidden="false" customHeight="true" outlineLevel="0" collapsed="false">
      <c r="A8" s="16" t="s">
        <v>370</v>
      </c>
      <c r="B8" s="17" t="s">
        <v>371</v>
      </c>
    </row>
    <row r="9" customFormat="false" ht="63.75" hidden="false" customHeight="true" outlineLevel="0" collapsed="false">
      <c r="A9" s="16" t="s">
        <v>372</v>
      </c>
      <c r="B9" s="17" t="s">
        <v>373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2026-08-18T21:17:38Z</dcterms:created>
  <dc:creator>openpyxl</dc:creator>
  <dc:description/>
  <dc:language>en-US</dc:language>
  <cp:lastModifiedBy/>
  <dcterms:modified xsi:type="dcterms:W3CDTF">2026-08-18T21:18:06Z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